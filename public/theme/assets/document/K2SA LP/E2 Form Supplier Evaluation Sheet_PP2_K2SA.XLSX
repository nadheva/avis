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ptop VAIO\By Date\November\"/>
    </mc:Choice>
  </mc:AlternateContent>
  <bookViews>
    <workbookView xWindow="0" yWindow="0" windowWidth="20490" windowHeight="7635"/>
  </bookViews>
  <sheets>
    <sheet name="Form Judgemnt Go Del Part PP2" sheetId="3" r:id="rId1"/>
    <sheet name="Form PP2 Ev. Sheet" sheetId="2" r:id="rId2"/>
    <sheet name="Sheet1" sheetId="4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\a" localSheetId="0">[1]SHEET2!#REF!</definedName>
    <definedName name="\a">[1]SHEET2!#REF!</definedName>
    <definedName name="\b" localSheetId="0">[1]SHEET6!#REF!</definedName>
    <definedName name="\b">[1]SHEET6!#REF!</definedName>
    <definedName name="_Order1" hidden="1">0</definedName>
    <definedName name="ABS">[2]INDEX!$B$16</definedName>
    <definedName name="ABSBL">[2]INDEX!$B$18</definedName>
    <definedName name="ABSGR">[3]INDEX!$B$17</definedName>
    <definedName name="ABSNAT">[3]INDEX!$B$19</definedName>
    <definedName name="CD2KPW" localSheetId="0">[1]SHEET2!#REF!</definedName>
    <definedName name="CD2KPW">[1]SHEET2!#REF!</definedName>
    <definedName name="HD2G2">[4]INDEX!$B$12</definedName>
    <definedName name="IMP">[4]INDEX!$B$7</definedName>
    <definedName name="PPCOL">[3]INDEX!$B$22</definedName>
    <definedName name="_xlnm.Print_Area" localSheetId="0">'Form Judgemnt Go Del Part PP2'!$B$2:$T$52</definedName>
    <definedName name="_xlnm.Print_Area" localSheetId="1">'Form PP2 Ev. Sheet'!$A$1:$U$86</definedName>
    <definedName name="Print_Area_MI" localSheetId="0">'[5]E3 cost'!#REF!</definedName>
    <definedName name="Print_Area_MI">'[5]E3 cost'!#REF!</definedName>
    <definedName name="Supplement">[1]SHEET2!#REF!</definedName>
    <definedName name="USD">[4]INDEX!$B$4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3" l="1"/>
  <c r="F28" i="3"/>
  <c r="G71" i="2"/>
  <c r="F27" i="3" l="1"/>
</calcChain>
</file>

<file path=xl/sharedStrings.xml><?xml version="1.0" encoding="utf-8"?>
<sst xmlns="http://schemas.openxmlformats.org/spreadsheetml/2006/main" count="229" uniqueCount="132">
  <si>
    <t>Item</t>
  </si>
  <si>
    <t>MARK</t>
  </si>
  <si>
    <t>NAMA SUPPLIER</t>
  </si>
  <si>
    <t>○</t>
  </si>
  <si>
    <t>OK</t>
  </si>
  <si>
    <t>PROJECT</t>
  </si>
  <si>
    <t>∆</t>
  </si>
  <si>
    <t>OK WITH NOTE</t>
  </si>
  <si>
    <t>Part/Part Number</t>
  </si>
  <si>
    <t>х</t>
  </si>
  <si>
    <t>NG</t>
  </si>
  <si>
    <t>DESCRIPTION</t>
  </si>
  <si>
    <t>GAMBAR PART</t>
  </si>
  <si>
    <t>SPEC</t>
  </si>
  <si>
    <t>STD</t>
  </si>
  <si>
    <t>ACT</t>
  </si>
  <si>
    <t>Q</t>
  </si>
  <si>
    <t>O</t>
  </si>
  <si>
    <t>Inspection (100% BY DWG)</t>
  </si>
  <si>
    <t>Cp (&gt; 1,33)</t>
  </si>
  <si>
    <t>Cpk (&gt; 1,33)</t>
  </si>
  <si>
    <t>Rejection Rate</t>
  </si>
  <si>
    <t>D</t>
  </si>
  <si>
    <t>Process Design (Sesuai MP)</t>
  </si>
  <si>
    <t>Machine &amp; Equip (sesuai MP)</t>
  </si>
  <si>
    <t>Jig, Dies, Mold dan Tools</t>
  </si>
  <si>
    <t>LINE CT (sec)</t>
  </si>
  <si>
    <t>Material Handling</t>
  </si>
  <si>
    <t>M</t>
  </si>
  <si>
    <t>No of Operator</t>
  </si>
  <si>
    <t>Educate &amp; Training</t>
  </si>
  <si>
    <t>Lulus</t>
  </si>
  <si>
    <t>Competency Level</t>
  </si>
  <si>
    <t>Expert</t>
  </si>
  <si>
    <t>Evaluasi Man Power</t>
  </si>
  <si>
    <t>Terlaksana</t>
  </si>
  <si>
    <t>DOCUMENT</t>
  </si>
  <si>
    <t>MCP</t>
  </si>
  <si>
    <t>Sesuai sched</t>
  </si>
  <si>
    <t>MQS (jika ada)</t>
  </si>
  <si>
    <t>Teraplikasi</t>
  </si>
  <si>
    <t>QA Matrix</t>
  </si>
  <si>
    <t>Approved</t>
  </si>
  <si>
    <t>PQCS</t>
  </si>
  <si>
    <t>OS</t>
  </si>
  <si>
    <t>WSIRD</t>
  </si>
  <si>
    <t>Std Packaging</t>
  </si>
  <si>
    <t>Conclusion</t>
  </si>
  <si>
    <t>Notification</t>
  </si>
  <si>
    <t>CounterMeasure</t>
  </si>
  <si>
    <t>NO</t>
  </si>
  <si>
    <t>TANGGAL TRIAL</t>
  </si>
  <si>
    <t>Trial PP1</t>
  </si>
  <si>
    <t>Note</t>
  </si>
  <si>
    <t>Prod (pcs)</t>
  </si>
  <si>
    <t>NG (pcs)</t>
  </si>
  <si>
    <t>Rate</t>
  </si>
  <si>
    <t>Approval</t>
  </si>
  <si>
    <t>Evaluation date</t>
  </si>
  <si>
    <t>:</t>
  </si>
  <si>
    <t>Date of issue</t>
  </si>
  <si>
    <t>Place</t>
  </si>
  <si>
    <t>Director</t>
  </si>
  <si>
    <t>Model</t>
  </si>
  <si>
    <t>Eval. Stage</t>
  </si>
  <si>
    <t xml:space="preserve">Report by </t>
  </si>
  <si>
    <t xml:space="preserve"> </t>
  </si>
  <si>
    <t>Evaluation</t>
  </si>
  <si>
    <t>Evaluator</t>
  </si>
  <si>
    <t xml:space="preserve">  </t>
  </si>
  <si>
    <t>Result</t>
  </si>
  <si>
    <t>K2SA</t>
  </si>
  <si>
    <t>: K2SA</t>
  </si>
  <si>
    <t>PT Astra Visteon Indonesia</t>
  </si>
  <si>
    <t>Amirudin Suryo Atmojo</t>
  </si>
  <si>
    <r>
      <t xml:space="preserve">175,6 </t>
    </r>
    <r>
      <rPr>
        <sz val="11"/>
        <color theme="1"/>
        <rFont val="Calibri"/>
        <family val="2"/>
      </rPr>
      <t>± 0,5</t>
    </r>
  </si>
  <si>
    <t>5,5 ± 0,2</t>
  </si>
  <si>
    <t>LCD ASSY</t>
  </si>
  <si>
    <t>GLASS</t>
  </si>
  <si>
    <t>DIAL DESIGN</t>
  </si>
  <si>
    <t>LENS</t>
  </si>
  <si>
    <t>CASE INNER</t>
  </si>
  <si>
    <t>CASE LOWER</t>
  </si>
  <si>
    <t>CIRCUIT</t>
  </si>
  <si>
    <t>SW RUBBER (SEL)</t>
  </si>
  <si>
    <t>SW RUBBER (SET)</t>
  </si>
  <si>
    <t>PMMA</t>
  </si>
  <si>
    <t>PACKING</t>
  </si>
  <si>
    <t>DUST PROOF SEAL</t>
  </si>
  <si>
    <t>SCREW TAPPING M3X14</t>
  </si>
  <si>
    <t>TRIP ROD</t>
  </si>
  <si>
    <t>CUSHION</t>
  </si>
  <si>
    <t>DIFFUSER</t>
  </si>
  <si>
    <t>LABEL</t>
  </si>
  <si>
    <t>CP 16P 025</t>
  </si>
  <si>
    <t>GLUE</t>
  </si>
  <si>
    <t>CEMEDINE SUPER X NO.8008</t>
  </si>
  <si>
    <t>COATED PAPER</t>
  </si>
  <si>
    <t>IS 9937B-16A-T</t>
  </si>
  <si>
    <t>PC</t>
  </si>
  <si>
    <t>AI14010 (EPDM)</t>
  </si>
  <si>
    <t>PP-T30</t>
  </si>
  <si>
    <t>MFZn2-H-C</t>
  </si>
  <si>
    <t>NITTO DENKO TEMISH</t>
  </si>
  <si>
    <t>EPDM</t>
  </si>
  <si>
    <t>AI15010 (EPDM)</t>
  </si>
  <si>
    <t>FR4</t>
  </si>
  <si>
    <t>PP-T40</t>
  </si>
  <si>
    <t>Polybox 10pcs/ box</t>
  </si>
  <si>
    <t>22'</t>
  </si>
  <si>
    <t>1 Line</t>
  </si>
  <si>
    <t>1 Set</t>
  </si>
  <si>
    <t>Dhaniar P.B</t>
  </si>
  <si>
    <t>Ian Aliansyah</t>
  </si>
  <si>
    <t>Marketing / PM</t>
  </si>
  <si>
    <t>a.  Contingency Plan for Glue Machine</t>
  </si>
  <si>
    <r>
      <t>b.</t>
    </r>
    <r>
      <rPr>
        <sz val="7"/>
        <color theme="1"/>
        <rFont val="Times New Roman"/>
        <family val="1"/>
      </rPr>
      <t xml:space="preserve">      </t>
    </r>
    <r>
      <rPr>
        <sz val="11"/>
        <color theme="1"/>
        <rFont val="Calibri"/>
        <family val="2"/>
        <scheme val="minor"/>
      </rPr>
      <t>Machine pokayoke ( mesin tidak beroperasi ketika tidak ada lens )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</si>
  <si>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Daily verification commitment (cek berat glue)</t>
    </r>
  </si>
  <si>
    <t>: PT Astra Visteon Indonesia</t>
  </si>
  <si>
    <t>Final Assy</t>
  </si>
  <si>
    <t>Mohon concern QAV harus di close sebelum PP2 event</t>
  </si>
  <si>
    <t>PP2</t>
  </si>
  <si>
    <t>・PP2 Go</t>
  </si>
  <si>
    <t>* 37100-K2SA-N013-M1</t>
  </si>
  <si>
    <t>* 37100-K2SA-N113-M1</t>
  </si>
  <si>
    <t>PP2 disetujui sesuai dengan drawing K2SA-F-117</t>
  </si>
  <si>
    <t>: 37100-K2SA-N013-M1 ; 37100-K2SA-N113-M1</t>
  </si>
  <si>
    <t>Propose PP2 Approved</t>
  </si>
  <si>
    <t>8,5 ± 0,2</t>
  </si>
  <si>
    <t>37100-K2SA-N013-M1</t>
  </si>
  <si>
    <t>37100-K2SA-N113-M1</t>
  </si>
  <si>
    <t>PART PP2 EVALUATION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</si>
</sst>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ＭＳ Ｐゴシック"/>
      <family val="3"/>
      <charset val="128"/>
    </font>
    <font>
      <sz val="10"/>
      <name val="Arial"/>
      <family val="2"/>
    </font>
    <font>
      <sz val="10"/>
      <name val="Tahoma"/>
      <family val="2"/>
    </font>
    <font>
      <b/>
      <i/>
      <sz val="14"/>
      <color indexed="10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20"/>
      <color rgb="FF0070C0"/>
      <name val="Arial"/>
      <family val="2"/>
    </font>
    <font>
      <sz val="14"/>
      <color rgb="FF0070C0"/>
      <name val="Arial"/>
      <family val="2"/>
    </font>
    <font>
      <b/>
      <sz val="16"/>
      <color rgb="FF0070C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name val="HGP創英角ｺﾞｼｯｸUB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sz val="14"/>
      <name val="HGP創英角ｺﾞｼｯｸUB"/>
      <family val="3"/>
      <charset val="128"/>
    </font>
    <font>
      <sz val="12"/>
      <color indexed="10"/>
      <name val="Arial"/>
      <family val="2"/>
    </font>
    <font>
      <sz val="10"/>
      <color indexed="18"/>
      <name val="Arial"/>
      <family val="2"/>
    </font>
    <font>
      <sz val="11"/>
      <color indexed="8"/>
      <name val="Calibri"/>
      <family val="2"/>
      <charset val="134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9" fillId="0" borderId="0"/>
    <xf numFmtId="0" fontId="8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2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9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3" applyFont="1"/>
    <xf numFmtId="0" fontId="8" fillId="0" borderId="16" xfId="2" applyFont="1" applyBorder="1">
      <alignment vertical="center"/>
    </xf>
    <xf numFmtId="0" fontId="8" fillId="0" borderId="17" xfId="2" applyFont="1" applyBorder="1">
      <alignment vertical="center"/>
    </xf>
    <xf numFmtId="0" fontId="8" fillId="0" borderId="18" xfId="2" applyFont="1" applyBorder="1">
      <alignment vertical="center"/>
    </xf>
    <xf numFmtId="0" fontId="8" fillId="0" borderId="19" xfId="2" applyFont="1" applyBorder="1">
      <alignment vertical="center"/>
    </xf>
    <xf numFmtId="0" fontId="8" fillId="0" borderId="0" xfId="2" applyFont="1" applyBorder="1">
      <alignment vertical="center"/>
    </xf>
    <xf numFmtId="0" fontId="10" fillId="0" borderId="0" xfId="4" applyFont="1" applyBorder="1" applyAlignment="1">
      <alignment horizontal="right"/>
    </xf>
    <xf numFmtId="0" fontId="8" fillId="0" borderId="20" xfId="2" applyFont="1" applyBorder="1">
      <alignment vertical="center"/>
    </xf>
    <xf numFmtId="0" fontId="8" fillId="0" borderId="21" xfId="2" applyFont="1" applyBorder="1">
      <alignment vertical="center"/>
    </xf>
    <xf numFmtId="0" fontId="12" fillId="0" borderId="0" xfId="2" applyFont="1" applyBorder="1" applyAlignment="1">
      <alignment horizontal="left" vertical="center"/>
    </xf>
    <xf numFmtId="0" fontId="12" fillId="0" borderId="0" xfId="2" applyFont="1" applyBorder="1">
      <alignment vertical="center"/>
    </xf>
    <xf numFmtId="0" fontId="12" fillId="0" borderId="0" xfId="2" applyFont="1" applyBorder="1" applyAlignment="1">
      <alignment horizontal="right" vertical="center"/>
    </xf>
    <xf numFmtId="15" fontId="12" fillId="0" borderId="0" xfId="2" applyNumberFormat="1" applyFont="1" applyBorder="1" applyAlignment="1">
      <alignment horizontal="left" vertical="center"/>
    </xf>
    <xf numFmtId="0" fontId="12" fillId="0" borderId="2" xfId="2" applyFont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0" fontId="12" fillId="0" borderId="5" xfId="2" applyFont="1" applyBorder="1">
      <alignment vertical="center"/>
    </xf>
    <xf numFmtId="0" fontId="12" fillId="0" borderId="6" xfId="2" applyFont="1" applyBorder="1">
      <alignment vertical="center"/>
    </xf>
    <xf numFmtId="0" fontId="13" fillId="0" borderId="0" xfId="2" applyFont="1" applyBorder="1">
      <alignment vertical="center"/>
    </xf>
    <xf numFmtId="0" fontId="12" fillId="0" borderId="7" xfId="2" applyFont="1" applyBorder="1">
      <alignment vertical="center"/>
    </xf>
    <xf numFmtId="0" fontId="12" fillId="0" borderId="8" xfId="2" applyFont="1" applyBorder="1">
      <alignment vertical="center"/>
    </xf>
    <xf numFmtId="0" fontId="12" fillId="0" borderId="9" xfId="2" applyFont="1" applyBorder="1">
      <alignment vertical="center"/>
    </xf>
    <xf numFmtId="0" fontId="12" fillId="0" borderId="19" xfId="2" applyFont="1" applyBorder="1">
      <alignment vertical="center"/>
    </xf>
    <xf numFmtId="0" fontId="12" fillId="0" borderId="0" xfId="3" applyFont="1"/>
    <xf numFmtId="0" fontId="12" fillId="0" borderId="0" xfId="3" applyFont="1" applyBorder="1"/>
    <xf numFmtId="0" fontId="12" fillId="0" borderId="20" xfId="2" applyFont="1" applyBorder="1">
      <alignment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0" fontId="11" fillId="0" borderId="22" xfId="2" applyFont="1" applyBorder="1" applyAlignment="1">
      <alignment vertical="center"/>
    </xf>
    <xf numFmtId="0" fontId="12" fillId="0" borderId="5" xfId="2" applyFont="1" applyBorder="1" applyAlignment="1">
      <alignment horizontal="left" vertical="center"/>
    </xf>
    <xf numFmtId="0" fontId="12" fillId="0" borderId="6" xfId="3" applyFont="1" applyBorder="1"/>
    <xf numFmtId="0" fontId="16" fillId="0" borderId="0" xfId="2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12" fillId="0" borderId="6" xfId="2" applyFont="1" applyBorder="1" applyAlignment="1">
      <alignment horizontal="left" vertical="center"/>
    </xf>
    <xf numFmtId="0" fontId="18" fillId="0" borderId="0" xfId="2" applyFont="1" applyFill="1" applyBorder="1" applyAlignment="1">
      <alignment vertical="center"/>
    </xf>
    <xf numFmtId="0" fontId="12" fillId="0" borderId="0" xfId="3" applyFont="1" applyFill="1" applyBorder="1"/>
    <xf numFmtId="0" fontId="11" fillId="0" borderId="4" xfId="2" applyFont="1" applyBorder="1" applyAlignment="1">
      <alignment horizontal="left" vertical="center"/>
    </xf>
    <xf numFmtId="49" fontId="12" fillId="0" borderId="3" xfId="2" applyNumberFormat="1" applyFont="1" applyBorder="1" applyAlignment="1">
      <alignment horizontal="center" vertical="top"/>
    </xf>
    <xf numFmtId="0" fontId="11" fillId="0" borderId="6" xfId="2" applyFont="1" applyBorder="1" applyAlignment="1">
      <alignment horizontal="left" vertical="center"/>
    </xf>
    <xf numFmtId="0" fontId="12" fillId="0" borderId="0" xfId="5" applyFont="1" applyBorder="1" applyAlignment="1">
      <alignment vertical="top"/>
    </xf>
    <xf numFmtId="0" fontId="11" fillId="0" borderId="6" xfId="2" applyFont="1" applyBorder="1" applyAlignment="1">
      <alignment horizontal="right" vertical="center"/>
    </xf>
    <xf numFmtId="0" fontId="12" fillId="0" borderId="3" xfId="2" applyFont="1" applyBorder="1" applyAlignment="1"/>
    <xf numFmtId="0" fontId="12" fillId="0" borderId="4" xfId="3" applyFont="1" applyBorder="1" applyAlignment="1"/>
    <xf numFmtId="0" fontId="19" fillId="0" borderId="0" xfId="3" quotePrefix="1" applyFont="1" applyAlignment="1">
      <alignment horizontal="center"/>
    </xf>
    <xf numFmtId="0" fontId="19" fillId="0" borderId="0" xfId="5" applyFont="1" applyBorder="1" applyAlignment="1"/>
    <xf numFmtId="0" fontId="12" fillId="0" borderId="0" xfId="5" applyFont="1" applyBorder="1" applyAlignment="1"/>
    <xf numFmtId="0" fontId="12" fillId="0" borderId="6" xfId="3" applyFont="1" applyBorder="1" applyAlignment="1"/>
    <xf numFmtId="0" fontId="20" fillId="0" borderId="0" xfId="2" applyFont="1" applyBorder="1" applyAlignment="1"/>
    <xf numFmtId="0" fontId="12" fillId="0" borderId="0" xfId="2" applyFont="1" applyBorder="1" applyAlignment="1"/>
    <xf numFmtId="0" fontId="19" fillId="0" borderId="0" xfId="2" applyFont="1" applyBorder="1" applyAlignment="1"/>
    <xf numFmtId="0" fontId="21" fillId="0" borderId="0" xfId="5" applyFont="1" applyBorder="1" applyAlignment="1"/>
    <xf numFmtId="49" fontId="12" fillId="0" borderId="0" xfId="3" applyNumberFormat="1" applyFont="1" applyAlignment="1">
      <alignment horizontal="left"/>
    </xf>
    <xf numFmtId="0" fontId="12" fillId="0" borderId="0" xfId="3" applyFont="1" applyAlignment="1">
      <alignment horizontal="left"/>
    </xf>
    <xf numFmtId="0" fontId="12" fillId="0" borderId="6" xfId="3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0" fontId="12" fillId="0" borderId="0" xfId="3" applyFont="1" applyAlignment="1">
      <alignment vertical="center"/>
    </xf>
    <xf numFmtId="0" fontId="12" fillId="0" borderId="0" xfId="5" applyFont="1" applyBorder="1" applyAlignment="1">
      <alignment horizontal="left"/>
    </xf>
    <xf numFmtId="0" fontId="12" fillId="0" borderId="0" xfId="3" applyFont="1" applyBorder="1" applyAlignment="1">
      <alignment horizontal="left"/>
    </xf>
    <xf numFmtId="0" fontId="12" fillId="0" borderId="6" xfId="3" applyFont="1" applyBorder="1" applyAlignment="1">
      <alignment horizontal="left"/>
    </xf>
    <xf numFmtId="0" fontId="21" fillId="0" borderId="0" xfId="3" applyFont="1" applyAlignment="1">
      <alignment horizontal="left"/>
    </xf>
    <xf numFmtId="0" fontId="21" fillId="0" borderId="0" xfId="5" applyFont="1" applyBorder="1" applyAlignment="1">
      <alignment horizontal="left"/>
    </xf>
    <xf numFmtId="0" fontId="22" fillId="0" borderId="0" xfId="5" applyFont="1" applyBorder="1" applyAlignment="1">
      <alignment horizontal="left"/>
    </xf>
    <xf numFmtId="0" fontId="12" fillId="0" borderId="22" xfId="2" applyFont="1" applyBorder="1">
      <alignment vertical="center"/>
    </xf>
    <xf numFmtId="0" fontId="23" fillId="0" borderId="0" xfId="3" applyFont="1" applyAlignment="1"/>
    <xf numFmtId="0" fontId="12" fillId="0" borderId="0" xfId="3" applyFont="1" applyAlignment="1"/>
    <xf numFmtId="0" fontId="21" fillId="0" borderId="0" xfId="3" quotePrefix="1" applyFont="1" applyAlignment="1">
      <alignment horizontal="center"/>
    </xf>
    <xf numFmtId="0" fontId="21" fillId="0" borderId="0" xfId="3" applyFont="1"/>
    <xf numFmtId="0" fontId="24" fillId="0" borderId="0" xfId="2" applyFont="1" applyBorder="1" applyAlignment="1">
      <alignment horizontal="left"/>
    </xf>
    <xf numFmtId="0" fontId="12" fillId="0" borderId="0" xfId="2" applyFont="1" applyBorder="1" applyAlignment="1">
      <alignment wrapText="1"/>
    </xf>
    <xf numFmtId="0" fontId="21" fillId="0" borderId="0" xfId="5" applyFont="1" applyBorder="1" applyAlignment="1">
      <alignment horizontal="center"/>
    </xf>
    <xf numFmtId="0" fontId="21" fillId="0" borderId="0" xfId="2" applyFont="1" applyBorder="1" applyAlignment="1">
      <alignment horizontal="center"/>
    </xf>
    <xf numFmtId="0" fontId="22" fillId="0" borderId="0" xfId="5" applyFont="1" applyBorder="1" applyAlignment="1"/>
    <xf numFmtId="0" fontId="8" fillId="0" borderId="0" xfId="5" applyFont="1" applyAlignment="1">
      <alignment vertical="top" wrapText="1"/>
    </xf>
    <xf numFmtId="0" fontId="21" fillId="0" borderId="5" xfId="2" quotePrefix="1" applyFont="1" applyBorder="1" applyAlignment="1">
      <alignment horizontal="center"/>
    </xf>
    <xf numFmtId="0" fontId="25" fillId="0" borderId="0" xfId="5" applyFont="1" applyBorder="1" applyAlignment="1"/>
    <xf numFmtId="0" fontId="12" fillId="0" borderId="0" xfId="2" applyFont="1" applyBorder="1" applyAlignment="1">
      <alignment horizontal="left"/>
    </xf>
    <xf numFmtId="0" fontId="25" fillId="0" borderId="6" xfId="5" applyFont="1" applyBorder="1" applyAlignment="1"/>
    <xf numFmtId="0" fontId="12" fillId="0" borderId="7" xfId="2" applyFont="1" applyBorder="1" applyAlignment="1">
      <alignment horizontal="left" vertical="center"/>
    </xf>
    <xf numFmtId="0" fontId="12" fillId="0" borderId="7" xfId="2" applyFont="1" applyBorder="1" applyAlignment="1">
      <alignment horizontal="left"/>
    </xf>
    <xf numFmtId="0" fontId="12" fillId="0" borderId="8" xfId="2" applyFont="1" applyBorder="1" applyAlignment="1">
      <alignment horizontal="left"/>
    </xf>
    <xf numFmtId="0" fontId="8" fillId="0" borderId="8" xfId="5" applyFont="1" applyBorder="1" applyAlignment="1">
      <alignment wrapText="1"/>
    </xf>
    <xf numFmtId="0" fontId="25" fillId="0" borderId="9" xfId="5" applyFont="1" applyBorder="1" applyAlignment="1">
      <alignment horizontal="left"/>
    </xf>
    <xf numFmtId="0" fontId="8" fillId="0" borderId="23" xfId="2" applyFont="1" applyBorder="1">
      <alignment vertical="center"/>
    </xf>
    <xf numFmtId="0" fontId="8" fillId="0" borderId="24" xfId="2" applyFont="1" applyBorder="1" applyAlignment="1">
      <alignment horizontal="left" vertical="center"/>
    </xf>
    <xf numFmtId="0" fontId="8" fillId="0" borderId="25" xfId="2" applyFont="1" applyBorder="1">
      <alignment vertical="center"/>
    </xf>
    <xf numFmtId="0" fontId="0" fillId="0" borderId="1" xfId="0" applyBorder="1" applyAlignment="1">
      <alignment horizontal="center"/>
    </xf>
    <xf numFmtId="0" fontId="8" fillId="0" borderId="1" xfId="5" applyBorder="1" applyAlignment="1"/>
    <xf numFmtId="0" fontId="0" fillId="0" borderId="1" xfId="0" applyFill="1" applyBorder="1" applyAlignment="1">
      <alignment horizontal="center" vertical="center" wrapText="1"/>
    </xf>
    <xf numFmtId="0" fontId="8" fillId="2" borderId="1" xfId="5" applyFill="1" applyBorder="1" applyAlignment="1">
      <alignment horizontal="center"/>
    </xf>
    <xf numFmtId="164" fontId="0" fillId="0" borderId="1" xfId="6" applyNumberFormat="1" applyFont="1" applyFill="1" applyBorder="1" applyAlignment="1">
      <alignment horizontal="center"/>
    </xf>
    <xf numFmtId="0" fontId="8" fillId="0" borderId="1" xfId="5" applyBorder="1" applyAlignment="1">
      <alignment horizontal="center"/>
    </xf>
    <xf numFmtId="0" fontId="28" fillId="0" borderId="0" xfId="0" applyFont="1" applyAlignment="1">
      <alignment horizontal="left" vertical="center" indent="5"/>
    </xf>
    <xf numFmtId="0" fontId="29" fillId="0" borderId="1" xfId="0" quotePrefix="1" applyFont="1" applyBorder="1" applyAlignment="1">
      <alignment horizontal="center"/>
    </xf>
    <xf numFmtId="0" fontId="30" fillId="0" borderId="1" xfId="0" quotePrefix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15" fontId="13" fillId="0" borderId="0" xfId="2" applyNumberFormat="1" applyFont="1" applyBorder="1" applyAlignment="1">
      <alignment horizontal="left" vertical="center"/>
    </xf>
    <xf numFmtId="0" fontId="13" fillId="0" borderId="7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8" fillId="2" borderId="10" xfId="5" applyNumberFormat="1" applyFill="1" applyBorder="1" applyAlignment="1">
      <alignment horizontal="center" vertical="center"/>
    </xf>
    <xf numFmtId="164" fontId="8" fillId="2" borderId="12" xfId="5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7">
    <cellStyle name="Normal" xfId="0" builtinId="0"/>
    <cellStyle name="Normal 2" xfId="5"/>
    <cellStyle name="Normal_List AHM Dwg KPHF F26_AHM SPEC NOTICE INB8-2-0279" xfId="4"/>
    <cellStyle name="Percent" xfId="1" builtinId="5"/>
    <cellStyle name="Percent 2" xfId="6"/>
    <cellStyle name="標準_KPWA E1COST EVALAUTION" xfId="3"/>
    <cellStyle name="標準_内作P企資料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28839</xdr:colOff>
      <xdr:row>3</xdr:row>
      <xdr:rowOff>35990</xdr:rowOff>
    </xdr:from>
    <xdr:ext cx="3910814" cy="530658"/>
    <xdr:sp macro="" textlink="">
      <xdr:nvSpPr>
        <xdr:cNvPr id="2" name="TextBox 1"/>
        <xdr:cNvSpPr txBox="1"/>
      </xdr:nvSpPr>
      <xdr:spPr>
        <a:xfrm>
          <a:off x="247914" y="683690"/>
          <a:ext cx="391081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2800"/>
            <a:t>Supplier</a:t>
          </a:r>
          <a:r>
            <a:rPr lang="id-ID" sz="2800"/>
            <a:t> </a:t>
          </a:r>
          <a:r>
            <a:rPr lang="en-US" sz="2800"/>
            <a:t>Evaluation Sheet</a:t>
          </a:r>
        </a:p>
      </xdr:txBody>
    </xdr:sp>
    <xdr:clientData/>
  </xdr:oneCellAnchor>
  <xdr:twoCellAnchor>
    <xdr:from>
      <xdr:col>24</xdr:col>
      <xdr:colOff>119061</xdr:colOff>
      <xdr:row>31</xdr:row>
      <xdr:rowOff>142876</xdr:rowOff>
    </xdr:from>
    <xdr:to>
      <xdr:col>28</xdr:col>
      <xdr:colOff>178592</xdr:colOff>
      <xdr:row>33</xdr:row>
      <xdr:rowOff>130969</xdr:rowOff>
    </xdr:to>
    <xdr:sp macro="" textlink="">
      <xdr:nvSpPr>
        <xdr:cNvPr id="4" name="TextBox 3"/>
        <xdr:cNvSpPr txBox="1"/>
      </xdr:nvSpPr>
      <xdr:spPr>
        <a:xfrm>
          <a:off x="10632280" y="6286501"/>
          <a:ext cx="2488406" cy="5714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Keputusan</a:t>
          </a:r>
          <a:r>
            <a:rPr lang="en-US" sz="1100" baseline="0"/>
            <a:t> direktur  untuk GO delivery part PP1/PP2/MP ke PT. AHM </a:t>
          </a:r>
          <a:endParaRPr lang="en-US" sz="1100"/>
        </a:p>
      </xdr:txBody>
    </xdr:sp>
    <xdr:clientData/>
  </xdr:twoCellAnchor>
  <xdr:twoCellAnchor>
    <xdr:from>
      <xdr:col>2</xdr:col>
      <xdr:colOff>107156</xdr:colOff>
      <xdr:row>1</xdr:row>
      <xdr:rowOff>59532</xdr:rowOff>
    </xdr:from>
    <xdr:to>
      <xdr:col>7</xdr:col>
      <xdr:colOff>72260</xdr:colOff>
      <xdr:row>3</xdr:row>
      <xdr:rowOff>95250</xdr:rowOff>
    </xdr:to>
    <xdr:pic>
      <xdr:nvPicPr>
        <xdr:cNvPr id="8" name="Picture 260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4782"/>
          <a:ext cx="2024885" cy="595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76</xdr:row>
      <xdr:rowOff>122458</xdr:rowOff>
    </xdr:from>
    <xdr:to>
      <xdr:col>18</xdr:col>
      <xdr:colOff>468691</xdr:colOff>
      <xdr:row>83</xdr:row>
      <xdr:rowOff>95066</xdr:rowOff>
    </xdr:to>
    <xdr:grpSp>
      <xdr:nvGrpSpPr>
        <xdr:cNvPr id="2" name="Group 16"/>
        <xdr:cNvGrpSpPr>
          <a:grpSpLocks/>
        </xdr:cNvGrpSpPr>
      </xdr:nvGrpSpPr>
      <xdr:grpSpPr bwMode="auto">
        <a:xfrm>
          <a:off x="9987698" y="14495429"/>
          <a:ext cx="3272440" cy="1270645"/>
          <a:chOff x="532" y="733"/>
          <a:chExt cx="407" cy="153"/>
        </a:xfrm>
      </xdr:grpSpPr>
      <xdr:sp macro="" textlink="">
        <xdr:nvSpPr>
          <xdr:cNvPr id="3" name="Rectangle 1"/>
          <xdr:cNvSpPr>
            <a:spLocks noChangeArrowheads="1"/>
          </xdr:cNvSpPr>
        </xdr:nvSpPr>
        <xdr:spPr bwMode="auto">
          <a:xfrm>
            <a:off x="532" y="753"/>
            <a:ext cx="140" cy="7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Rectangle 2"/>
          <xdr:cNvSpPr>
            <a:spLocks noChangeArrowheads="1"/>
          </xdr:cNvSpPr>
        </xdr:nvSpPr>
        <xdr:spPr bwMode="auto">
          <a:xfrm>
            <a:off x="532" y="826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id-ID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" name="Rectangle 3"/>
          <xdr:cNvSpPr>
            <a:spLocks noChangeArrowheads="1"/>
          </xdr:cNvSpPr>
        </xdr:nvSpPr>
        <xdr:spPr bwMode="auto">
          <a:xfrm>
            <a:off x="532" y="846"/>
            <a:ext cx="140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id-ID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" name="Rectangle 4"/>
          <xdr:cNvSpPr>
            <a:spLocks noChangeArrowheads="1"/>
          </xdr:cNvSpPr>
        </xdr:nvSpPr>
        <xdr:spPr bwMode="auto">
          <a:xfrm>
            <a:off x="672" y="753"/>
            <a:ext cx="127" cy="7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5"/>
          <xdr:cNvSpPr>
            <a:spLocks noChangeArrowheads="1"/>
          </xdr:cNvSpPr>
        </xdr:nvSpPr>
        <xdr:spPr bwMode="auto">
          <a:xfrm>
            <a:off x="672" y="826"/>
            <a:ext cx="12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endParaRPr lang="id-ID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8" name="Rectangle 6"/>
          <xdr:cNvSpPr>
            <a:spLocks noChangeArrowheads="1"/>
          </xdr:cNvSpPr>
        </xdr:nvSpPr>
        <xdr:spPr bwMode="auto">
          <a:xfrm>
            <a:off x="672" y="846"/>
            <a:ext cx="129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id-ID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" name="Rectangle 7"/>
          <xdr:cNvSpPr>
            <a:spLocks noChangeArrowheads="1"/>
          </xdr:cNvSpPr>
        </xdr:nvSpPr>
        <xdr:spPr bwMode="auto">
          <a:xfrm>
            <a:off x="799" y="753"/>
            <a:ext cx="140" cy="7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Rectangle 8"/>
          <xdr:cNvSpPr>
            <a:spLocks noChangeArrowheads="1"/>
          </xdr:cNvSpPr>
        </xdr:nvSpPr>
        <xdr:spPr bwMode="auto">
          <a:xfrm>
            <a:off x="799" y="826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/>
            <a:endParaRPr lang="id-ID" sz="1100" b="0" i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ctangle 9"/>
          <xdr:cNvSpPr>
            <a:spLocks noChangeArrowheads="1"/>
          </xdr:cNvSpPr>
        </xdr:nvSpPr>
        <xdr:spPr bwMode="auto">
          <a:xfrm>
            <a:off x="799" y="846"/>
            <a:ext cx="140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id-ID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2" name="Rectangle 10"/>
          <xdr:cNvSpPr>
            <a:spLocks noChangeArrowheads="1"/>
          </xdr:cNvSpPr>
        </xdr:nvSpPr>
        <xdr:spPr bwMode="auto">
          <a:xfrm>
            <a:off x="532" y="733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Dibuat</a:t>
            </a:r>
          </a:p>
        </xdr:txBody>
      </xdr:sp>
      <xdr:sp macro="" textlink="">
        <xdr:nvSpPr>
          <xdr:cNvPr id="13" name="Rectangle 11"/>
          <xdr:cNvSpPr>
            <a:spLocks noChangeArrowheads="1"/>
          </xdr:cNvSpPr>
        </xdr:nvSpPr>
        <xdr:spPr bwMode="auto">
          <a:xfrm>
            <a:off x="672" y="733"/>
            <a:ext cx="12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Diperiksa</a:t>
            </a:r>
          </a:p>
        </xdr:txBody>
      </xdr:sp>
      <xdr:sp macro="" textlink="">
        <xdr:nvSpPr>
          <xdr:cNvPr id="14" name="Rectangle 12"/>
          <xdr:cNvSpPr>
            <a:spLocks noChangeArrowheads="1"/>
          </xdr:cNvSpPr>
        </xdr:nvSpPr>
        <xdr:spPr bwMode="auto">
          <a:xfrm>
            <a:off x="799" y="733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Disetujui</a:t>
            </a:r>
          </a:p>
        </xdr:txBody>
      </xdr:sp>
      <xdr:sp macro="" textlink="">
        <xdr:nvSpPr>
          <xdr:cNvPr id="15" name="Rectangle 13"/>
          <xdr:cNvSpPr>
            <a:spLocks noChangeArrowheads="1"/>
          </xdr:cNvSpPr>
        </xdr:nvSpPr>
        <xdr:spPr bwMode="auto">
          <a:xfrm>
            <a:off x="532" y="866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Tgl.</a:t>
            </a:r>
          </a:p>
        </xdr:txBody>
      </xdr:sp>
      <xdr:sp macro="" textlink="">
        <xdr:nvSpPr>
          <xdr:cNvPr id="16" name="Rectangle 14"/>
          <xdr:cNvSpPr>
            <a:spLocks noChangeArrowheads="1"/>
          </xdr:cNvSpPr>
        </xdr:nvSpPr>
        <xdr:spPr bwMode="auto">
          <a:xfrm>
            <a:off x="672" y="866"/>
            <a:ext cx="129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Tgl.</a:t>
            </a:r>
          </a:p>
        </xdr:txBody>
      </xdr:sp>
      <xdr:sp macro="" textlink="">
        <xdr:nvSpPr>
          <xdr:cNvPr id="17" name="Rectangle 15"/>
          <xdr:cNvSpPr>
            <a:spLocks noChangeArrowheads="1"/>
          </xdr:cNvSpPr>
        </xdr:nvSpPr>
        <xdr:spPr bwMode="auto">
          <a:xfrm>
            <a:off x="799" y="866"/>
            <a:ext cx="140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1">
              <a:defRPr sz="1000"/>
            </a:pPr>
            <a:r>
              <a:rPr lang="id-ID" sz="1000" b="0" i="0" strike="noStrike">
                <a:solidFill>
                  <a:srgbClr val="000000"/>
                </a:solidFill>
                <a:latin typeface="Arial"/>
                <a:cs typeface="Arial"/>
              </a:rPr>
              <a:t>Tgl.</a:t>
            </a:r>
          </a:p>
        </xdr:txBody>
      </xdr:sp>
    </xdr:grpSp>
    <xdr:clientData/>
  </xdr:twoCellAnchor>
  <xdr:oneCellAnchor>
    <xdr:from>
      <xdr:col>17</xdr:col>
      <xdr:colOff>27933</xdr:colOff>
      <xdr:row>81</xdr:row>
      <xdr:rowOff>44650</xdr:rowOff>
    </xdr:from>
    <xdr:ext cx="674159" cy="356893"/>
    <xdr:sp macro="" textlink="">
      <xdr:nvSpPr>
        <xdr:cNvPr id="19" name="TextBox 18"/>
        <xdr:cNvSpPr txBox="1"/>
      </xdr:nvSpPr>
      <xdr:spPr>
        <a:xfrm rot="16200000">
          <a:off x="15103544" y="15639539"/>
          <a:ext cx="356893" cy="67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DIRECTOR</a:t>
          </a:r>
        </a:p>
      </xdr:txBody>
    </xdr:sp>
    <xdr:clientData/>
  </xdr:oneCellAnchor>
  <xdr:oneCellAnchor>
    <xdr:from>
      <xdr:col>13</xdr:col>
      <xdr:colOff>7054</xdr:colOff>
      <xdr:row>81</xdr:row>
      <xdr:rowOff>37852</xdr:rowOff>
    </xdr:from>
    <xdr:ext cx="363433" cy="356893"/>
    <xdr:sp macro="" textlink="">
      <xdr:nvSpPr>
        <xdr:cNvPr id="20" name="TextBox 19"/>
        <xdr:cNvSpPr txBox="1"/>
      </xdr:nvSpPr>
      <xdr:spPr>
        <a:xfrm rot="16200000">
          <a:off x="10297324" y="15779407"/>
          <a:ext cx="356893" cy="363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AME</a:t>
          </a:r>
        </a:p>
      </xdr:txBody>
    </xdr:sp>
    <xdr:clientData/>
  </xdr:oneCellAnchor>
  <xdr:oneCellAnchor>
    <xdr:from>
      <xdr:col>14</xdr:col>
      <xdr:colOff>372286</xdr:colOff>
      <xdr:row>81</xdr:row>
      <xdr:rowOff>35131</xdr:rowOff>
    </xdr:from>
    <xdr:ext cx="964110" cy="356893"/>
    <xdr:sp macro="" textlink="">
      <xdr:nvSpPr>
        <xdr:cNvPr id="21" name="TextBox 20"/>
        <xdr:cNvSpPr txBox="1"/>
      </xdr:nvSpPr>
      <xdr:spPr>
        <a:xfrm rot="16200000">
          <a:off x="11353419" y="15476348"/>
          <a:ext cx="356893" cy="964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Marketing/ PM</a:t>
          </a:r>
        </a:p>
      </xdr:txBody>
    </xdr:sp>
    <xdr:clientData/>
  </xdr:oneCellAnchor>
  <xdr:oneCellAnchor>
    <xdr:from>
      <xdr:col>2</xdr:col>
      <xdr:colOff>489857</xdr:colOff>
      <xdr:row>14</xdr:row>
      <xdr:rowOff>176892</xdr:rowOff>
    </xdr:from>
    <xdr:ext cx="184731" cy="342786"/>
    <xdr:sp macro="" textlink="">
      <xdr:nvSpPr>
        <xdr:cNvPr id="22" name="TextBox 21"/>
        <xdr:cNvSpPr txBox="1"/>
      </xdr:nvSpPr>
      <xdr:spPr>
        <a:xfrm>
          <a:off x="1709057" y="315821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/>
        </a:p>
      </xdr:txBody>
    </xdr:sp>
    <xdr:clientData/>
  </xdr:oneCellAnchor>
  <xdr:twoCellAnchor editAs="oneCell">
    <xdr:from>
      <xdr:col>22</xdr:col>
      <xdr:colOff>277462</xdr:colOff>
      <xdr:row>17</xdr:row>
      <xdr:rowOff>167890</xdr:rowOff>
    </xdr:from>
    <xdr:to>
      <xdr:col>28</xdr:col>
      <xdr:colOff>411188</xdr:colOff>
      <xdr:row>41</xdr:row>
      <xdr:rowOff>65453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783" y="3732961"/>
          <a:ext cx="3807654" cy="4469563"/>
        </a:xfrm>
        <a:prstGeom prst="rect">
          <a:avLst/>
        </a:prstGeom>
      </xdr:spPr>
    </xdr:pic>
    <xdr:clientData/>
  </xdr:twoCellAnchor>
  <xdr:twoCellAnchor editAs="oneCell">
    <xdr:from>
      <xdr:col>22</xdr:col>
      <xdr:colOff>308264</xdr:colOff>
      <xdr:row>37</xdr:row>
      <xdr:rowOff>7793</xdr:rowOff>
    </xdr:from>
    <xdr:to>
      <xdr:col>29</xdr:col>
      <xdr:colOff>201239</xdr:colOff>
      <xdr:row>55</xdr:row>
      <xdr:rowOff>159745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67764" y="7368020"/>
          <a:ext cx="4135929" cy="3580952"/>
        </a:xfrm>
        <a:prstGeom prst="rect">
          <a:avLst/>
        </a:prstGeom>
      </xdr:spPr>
    </xdr:pic>
    <xdr:clientData/>
  </xdr:twoCellAnchor>
  <xdr:twoCellAnchor>
    <xdr:from>
      <xdr:col>2</xdr:col>
      <xdr:colOff>333375</xdr:colOff>
      <xdr:row>1</xdr:row>
      <xdr:rowOff>79374</xdr:rowOff>
    </xdr:from>
    <xdr:to>
      <xdr:col>3</xdr:col>
      <xdr:colOff>1270000</xdr:colOff>
      <xdr:row>4</xdr:row>
      <xdr:rowOff>133281</xdr:rowOff>
    </xdr:to>
    <xdr:pic>
      <xdr:nvPicPr>
        <xdr:cNvPr id="25" name="Picture 260" descr="rId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269874"/>
          <a:ext cx="2127250" cy="625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289263</xdr:colOff>
      <xdr:row>80</xdr:row>
      <xdr:rowOff>57732</xdr:rowOff>
    </xdr:from>
    <xdr:ext cx="836832" cy="356893"/>
    <xdr:sp macro="" textlink="">
      <xdr:nvSpPr>
        <xdr:cNvPr id="27" name="TextBox 26"/>
        <xdr:cNvSpPr txBox="1"/>
      </xdr:nvSpPr>
      <xdr:spPr>
        <a:xfrm rot="16200000">
          <a:off x="10330457" y="15372088"/>
          <a:ext cx="356893" cy="8368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Amirudin S.A</a:t>
          </a:r>
        </a:p>
      </xdr:txBody>
    </xdr:sp>
    <xdr:clientData/>
  </xdr:oneCellAnchor>
  <xdr:oneCellAnchor>
    <xdr:from>
      <xdr:col>15</xdr:col>
      <xdr:colOff>31793</xdr:colOff>
      <xdr:row>80</xdr:row>
      <xdr:rowOff>54009</xdr:rowOff>
    </xdr:from>
    <xdr:ext cx="761234" cy="356893"/>
    <xdr:sp macro="" textlink="">
      <xdr:nvSpPr>
        <xdr:cNvPr id="28" name="TextBox 27"/>
        <xdr:cNvSpPr txBox="1"/>
      </xdr:nvSpPr>
      <xdr:spPr>
        <a:xfrm rot="16200000">
          <a:off x="11321063" y="15406164"/>
          <a:ext cx="356893" cy="76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Dhaniar P.B</a:t>
          </a:r>
        </a:p>
      </xdr:txBody>
    </xdr:sp>
    <xdr:clientData/>
  </xdr:oneCellAnchor>
  <xdr:oneCellAnchor>
    <xdr:from>
      <xdr:col>16</xdr:col>
      <xdr:colOff>806852</xdr:colOff>
      <xdr:row>80</xdr:row>
      <xdr:rowOff>57327</xdr:rowOff>
    </xdr:from>
    <xdr:ext cx="850233" cy="356893"/>
    <xdr:sp macro="" textlink="">
      <xdr:nvSpPr>
        <xdr:cNvPr id="29" name="TextBox 28"/>
        <xdr:cNvSpPr txBox="1"/>
      </xdr:nvSpPr>
      <xdr:spPr>
        <a:xfrm rot="16200000">
          <a:off x="15150522" y="15373679"/>
          <a:ext cx="356893" cy="8502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Ian Aliansyah</a:t>
          </a:r>
        </a:p>
      </xdr:txBody>
    </xdr:sp>
    <xdr:clientData/>
  </xdr:oneCellAnchor>
  <xdr:oneCellAnchor>
    <xdr:from>
      <xdr:col>12</xdr:col>
      <xdr:colOff>421919</xdr:colOff>
      <xdr:row>82</xdr:row>
      <xdr:rowOff>22120</xdr:rowOff>
    </xdr:from>
    <xdr:ext cx="814197" cy="356893"/>
    <xdr:sp macro="" textlink="">
      <xdr:nvSpPr>
        <xdr:cNvPr id="30" name="TextBox 29"/>
        <xdr:cNvSpPr txBox="1"/>
      </xdr:nvSpPr>
      <xdr:spPr>
        <a:xfrm rot="16200000">
          <a:off x="9756471" y="15728793"/>
          <a:ext cx="356893" cy="81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03 Nov 2021</a:t>
          </a:r>
        </a:p>
      </xdr:txBody>
    </xdr:sp>
    <xdr:clientData/>
  </xdr:oneCellAnchor>
  <xdr:oneCellAnchor>
    <xdr:from>
      <xdr:col>15</xdr:col>
      <xdr:colOff>150553</xdr:colOff>
      <xdr:row>82</xdr:row>
      <xdr:rowOff>24147</xdr:rowOff>
    </xdr:from>
    <xdr:ext cx="820997" cy="356893"/>
    <xdr:sp macro="" textlink="">
      <xdr:nvSpPr>
        <xdr:cNvPr id="31" name="TextBox 30"/>
        <xdr:cNvSpPr txBox="1"/>
      </xdr:nvSpPr>
      <xdr:spPr>
        <a:xfrm rot="16200000">
          <a:off x="10774380" y="15727420"/>
          <a:ext cx="356893" cy="8209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square" rtlCol="0" anchor="t">
          <a:spAutoFit/>
        </a:bodyPr>
        <a:lstStyle/>
        <a:p>
          <a:r>
            <a:rPr lang="en-US" sz="1100"/>
            <a:t>03 Nov 2021</a:t>
          </a:r>
        </a:p>
      </xdr:txBody>
    </xdr:sp>
    <xdr:clientData/>
  </xdr:oneCellAnchor>
  <xdr:oneCellAnchor>
    <xdr:from>
      <xdr:col>17</xdr:col>
      <xdr:colOff>149836</xdr:colOff>
      <xdr:row>82</xdr:row>
      <xdr:rowOff>19222</xdr:rowOff>
    </xdr:from>
    <xdr:ext cx="814197" cy="356893"/>
    <xdr:sp macro="" textlink="">
      <xdr:nvSpPr>
        <xdr:cNvPr id="32" name="TextBox 31"/>
        <xdr:cNvSpPr txBox="1"/>
      </xdr:nvSpPr>
      <xdr:spPr>
        <a:xfrm rot="16200000">
          <a:off x="11789438" y="15725895"/>
          <a:ext cx="356893" cy="81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lstStyle/>
        <a:p>
          <a:r>
            <a:rPr lang="en-US" sz="1100"/>
            <a:t>03 Nov 2021</a:t>
          </a:r>
        </a:p>
      </xdr:txBody>
    </xdr:sp>
    <xdr:clientData/>
  </xdr:oneCellAnchor>
  <xdr:twoCellAnchor editAs="oneCell">
    <xdr:from>
      <xdr:col>4</xdr:col>
      <xdr:colOff>927651</xdr:colOff>
      <xdr:row>13</xdr:row>
      <xdr:rowOff>53025</xdr:rowOff>
    </xdr:from>
    <xdr:to>
      <xdr:col>5</xdr:col>
      <xdr:colOff>1316934</xdr:colOff>
      <xdr:row>18</xdr:row>
      <xdr:rowOff>148504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211716" y="2419895"/>
          <a:ext cx="1047979" cy="19132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0068\nmc\WINDOWS\Temporary%20Internet%20Files\Content.IE5\8HXYXBDU\My%20Documents\&#27597;&#34955;\ANF,AND\0321&#20986;&#24373;&#65328;&#20225;\P&#20225;&#36039;&#26009;\WINDOWS\TEMP\xls\HF\echr-01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0068\nmc\WINDOWS\Temporary%20Internet%20Files\Content.IE5\8HXYXBDU\My%20Documents\&#27597;&#34955;\ANF,AND\0321&#20986;&#24373;&#65328;&#20225;\P&#20225;&#36039;&#26009;\IN-PLANT%20COST%20FRAME%20KPH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0068\nmc\WINDOWS\Temporary%20Internet%20Files\Content.IE5\8HXYXBDU\My%20Documents\&#27597;&#34955;\ANF,AND\0321&#20986;&#24373;&#65328;&#20225;\P&#20225;&#36039;&#26009;\IN-PLANT%20COST%20FRAME%20KPW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0068\nmc\WINDOWS\Temporary%20Internet%20Files\Content.IE5\8HXYXBDU\My%20Documents\&#27597;&#34955;\ANF,AND\0321&#20986;&#24373;&#65328;&#20225;\P&#20225;&#36039;&#26009;\IN-PLANT%20COST%20ENG%20KPW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GBLE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6"/>
      <sheetName val="CRUTCH"/>
      <sheetName val="GBY_C企"/>
      <sheetName val="2002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COST(ANF)X5%"/>
      <sheetName val="STUDY COST(ANF)"/>
      <sheetName val="KPHF"/>
      <sheetName val="INDEX"/>
      <sheetName val="GROUP B"/>
      <sheetName val="GROUP A"/>
    </sheetNames>
    <sheetDataSet>
      <sheetData sheetId="0"/>
      <sheetData sheetId="1"/>
      <sheetData sheetId="2"/>
      <sheetData sheetId="3">
        <row r="16">
          <cell r="B16">
            <v>15624</v>
          </cell>
        </row>
        <row r="18">
          <cell r="B18">
            <v>15624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COST(AND)X5%"/>
      <sheetName val="STUDY COST(AND)"/>
      <sheetName val="KPWA"/>
      <sheetName val="INDEX"/>
    </sheetNames>
    <sheetDataSet>
      <sheetData sheetId="0"/>
      <sheetData sheetId="1"/>
      <sheetData sheetId="2"/>
      <sheetData sheetId="3">
        <row r="17">
          <cell r="B17">
            <v>15474</v>
          </cell>
        </row>
        <row r="19">
          <cell r="B19">
            <v>15474</v>
          </cell>
        </row>
        <row r="22">
          <cell r="B22">
            <v>15624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WA"/>
      <sheetName val="INDEX"/>
      <sheetName val="Sheet3"/>
      <sheetName val="KPWA区分 KFVP"/>
      <sheetName val="ｺﾝY条件BD"/>
    </sheetNames>
    <sheetDataSet>
      <sheetData sheetId="0"/>
      <sheetData sheetId="1">
        <row r="4">
          <cell r="B4">
            <v>8850</v>
          </cell>
        </row>
        <row r="7">
          <cell r="B7">
            <v>2.5000000000000001E-2</v>
          </cell>
        </row>
        <row r="12">
          <cell r="B12">
            <v>1.4650000000000001</v>
          </cell>
        </row>
      </sheetData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事9月改"/>
      <sheetName val="部門分析(E)"/>
      <sheetName val="部門分析(F)"/>
      <sheetName val="仕事量9月 F"/>
      <sheetName val="仕事9月"/>
      <sheetName val="総括GBLH"/>
      <sheetName val="E3 cost"/>
      <sheetName val="ｶﾌﾞﾘ1"/>
      <sheetName val="2002"/>
      <sheetName val="INDEX"/>
      <sheetName val="ocean voyage"/>
      <sheetName val="入力ｼｰﾄ"/>
      <sheetName val="ｺﾝY条件BD"/>
      <sheetName val="Ｐ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2"/>
  <sheetViews>
    <sheetView showGridLines="0" tabSelected="1" topLeftCell="A22" zoomScale="80" zoomScaleNormal="80" workbookViewId="0">
      <selection activeCell="W35" sqref="W35"/>
    </sheetView>
  </sheetViews>
  <sheetFormatPr defaultRowHeight="12.75"/>
  <cols>
    <col min="1" max="1" width="1.5703125" style="28" customWidth="1"/>
    <col min="2" max="2" width="1.7109375" style="27" customWidth="1"/>
    <col min="3" max="3" width="5.7109375" style="27" customWidth="1"/>
    <col min="4" max="4" width="7.140625" style="27" customWidth="1"/>
    <col min="5" max="5" width="6.5703125" style="27" customWidth="1"/>
    <col min="6" max="9" width="5.7109375" style="27" customWidth="1"/>
    <col min="10" max="10" width="5.5703125" style="27" customWidth="1"/>
    <col min="11" max="13" width="5.7109375" style="27" customWidth="1"/>
    <col min="14" max="19" width="8.28515625" style="27" customWidth="1"/>
    <col min="20" max="20" width="2.28515625" style="27" customWidth="1"/>
    <col min="21" max="21" width="1.85546875" style="28" customWidth="1"/>
    <col min="22" max="16384" width="9.140625" style="28"/>
  </cols>
  <sheetData>
    <row r="1" spans="2:24" ht="7.5" customHeight="1" thickBot="1"/>
    <row r="2" spans="2:24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</row>
    <row r="3" spans="2:24" ht="30.75" customHeight="1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35"/>
    </row>
    <row r="4" spans="2:24" ht="12.75" customHeight="1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T4" s="35"/>
    </row>
    <row r="5" spans="2:24" ht="12.75" customHeight="1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T5" s="35"/>
    </row>
    <row r="6" spans="2:24" ht="15" customHeight="1" thickBot="1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T6" s="35"/>
    </row>
    <row r="7" spans="2:24" ht="13.5" thickTop="1">
      <c r="B7" s="32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5"/>
    </row>
    <row r="8" spans="2:24"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127" t="s">
        <v>57</v>
      </c>
      <c r="O8" s="128"/>
      <c r="P8" s="128"/>
      <c r="Q8" s="128"/>
      <c r="R8" s="128"/>
      <c r="S8" s="129"/>
      <c r="T8" s="35"/>
    </row>
    <row r="9" spans="2:24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130"/>
      <c r="O9" s="131"/>
      <c r="P9" s="131"/>
      <c r="Q9" s="131"/>
      <c r="R9" s="131"/>
      <c r="S9" s="132"/>
      <c r="T9" s="35"/>
    </row>
    <row r="10" spans="2:24" ht="15">
      <c r="B10" s="32"/>
      <c r="C10" s="37" t="s">
        <v>58</v>
      </c>
      <c r="D10" s="38"/>
      <c r="E10" s="38"/>
      <c r="F10" s="39" t="s">
        <v>59</v>
      </c>
      <c r="G10" s="40"/>
      <c r="H10" s="133">
        <v>44503</v>
      </c>
      <c r="I10" s="133"/>
      <c r="J10" s="133"/>
      <c r="K10" s="33"/>
      <c r="L10" s="33"/>
      <c r="M10" s="33"/>
      <c r="N10" s="41"/>
      <c r="O10" s="42"/>
      <c r="P10" s="43"/>
      <c r="Q10" s="41"/>
      <c r="R10" s="42"/>
      <c r="S10" s="43"/>
      <c r="T10" s="35"/>
    </row>
    <row r="11" spans="2:24" ht="15">
      <c r="B11" s="32"/>
      <c r="C11" s="37" t="s">
        <v>60</v>
      </c>
      <c r="D11" s="38"/>
      <c r="E11" s="38"/>
      <c r="F11" s="39" t="s">
        <v>59</v>
      </c>
      <c r="G11" s="40"/>
      <c r="H11" s="133">
        <v>44502</v>
      </c>
      <c r="I11" s="133"/>
      <c r="J11" s="133"/>
      <c r="K11" s="33"/>
      <c r="L11" s="33"/>
      <c r="M11" s="33"/>
      <c r="N11" s="44"/>
      <c r="O11" s="38"/>
      <c r="P11" s="45"/>
      <c r="Q11" s="44"/>
      <c r="R11" s="38"/>
      <c r="S11" s="45"/>
      <c r="T11" s="35"/>
    </row>
    <row r="12" spans="2:24" ht="15">
      <c r="B12" s="32"/>
      <c r="C12" s="37" t="s">
        <v>61</v>
      </c>
      <c r="D12" s="38"/>
      <c r="E12" s="38"/>
      <c r="F12" s="39" t="s">
        <v>59</v>
      </c>
      <c r="G12" s="40"/>
      <c r="H12" s="46" t="s">
        <v>73</v>
      </c>
      <c r="I12" s="38"/>
      <c r="J12" s="38"/>
      <c r="K12" s="33"/>
      <c r="L12" s="33"/>
      <c r="M12" s="33"/>
      <c r="N12" s="47"/>
      <c r="O12" s="48"/>
      <c r="P12" s="49"/>
      <c r="Q12" s="47"/>
      <c r="R12" s="48"/>
      <c r="S12" s="49"/>
      <c r="T12" s="35"/>
    </row>
    <row r="13" spans="2:24" s="51" customFormat="1" ht="15">
      <c r="B13" s="50"/>
      <c r="K13" s="52"/>
      <c r="L13" s="38"/>
      <c r="M13" s="38"/>
      <c r="N13" s="134" t="s">
        <v>112</v>
      </c>
      <c r="O13" s="135"/>
      <c r="P13" s="136"/>
      <c r="Q13" s="134" t="s">
        <v>113</v>
      </c>
      <c r="R13" s="135"/>
      <c r="S13" s="136"/>
      <c r="T13" s="53"/>
      <c r="W13" s="28"/>
      <c r="X13" s="28"/>
    </row>
    <row r="14" spans="2:24" s="51" customFormat="1" ht="15">
      <c r="B14" s="50"/>
      <c r="K14" s="52"/>
      <c r="L14" s="38"/>
      <c r="M14" s="38"/>
      <c r="N14" s="124" t="s">
        <v>114</v>
      </c>
      <c r="O14" s="124"/>
      <c r="P14" s="124"/>
      <c r="Q14" s="125" t="s">
        <v>62</v>
      </c>
      <c r="R14" s="125"/>
      <c r="S14" s="126"/>
      <c r="T14" s="53"/>
      <c r="W14" s="28"/>
      <c r="X14" s="28"/>
    </row>
    <row r="15" spans="2:24"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5"/>
    </row>
    <row r="16" spans="2:24" ht="15" customHeight="1">
      <c r="B16" s="32"/>
      <c r="C16" s="137" t="s">
        <v>63</v>
      </c>
      <c r="D16" s="138"/>
      <c r="E16" s="138"/>
      <c r="F16" s="138"/>
      <c r="G16" s="138"/>
      <c r="H16" s="139"/>
      <c r="I16" s="137" t="s">
        <v>64</v>
      </c>
      <c r="J16" s="138"/>
      <c r="K16" s="138"/>
      <c r="L16" s="138"/>
      <c r="M16" s="139"/>
      <c r="N16" s="137" t="s">
        <v>65</v>
      </c>
      <c r="O16" s="138"/>
      <c r="P16" s="138"/>
      <c r="Q16" s="138"/>
      <c r="R16" s="138"/>
      <c r="S16" s="139"/>
      <c r="T16" s="35"/>
    </row>
    <row r="17" spans="2:20" ht="12" customHeight="1">
      <c r="B17" s="32"/>
      <c r="C17" s="140"/>
      <c r="D17" s="141"/>
      <c r="E17" s="141"/>
      <c r="F17" s="141"/>
      <c r="G17" s="141"/>
      <c r="H17" s="142"/>
      <c r="I17" s="140"/>
      <c r="J17" s="141"/>
      <c r="K17" s="141"/>
      <c r="L17" s="141"/>
      <c r="M17" s="142"/>
      <c r="N17" s="140"/>
      <c r="O17" s="141"/>
      <c r="P17" s="141"/>
      <c r="Q17" s="141"/>
      <c r="R17" s="141"/>
      <c r="S17" s="142"/>
      <c r="T17" s="35"/>
    </row>
    <row r="18" spans="2:20" ht="15" customHeight="1">
      <c r="B18" s="32"/>
      <c r="C18" s="143" t="s">
        <v>71</v>
      </c>
      <c r="D18" s="144"/>
      <c r="E18" s="144"/>
      <c r="F18" s="144"/>
      <c r="G18" s="144"/>
      <c r="H18" s="145"/>
      <c r="I18" s="152" t="s">
        <v>121</v>
      </c>
      <c r="J18" s="153"/>
      <c r="K18" s="153"/>
      <c r="L18" s="153"/>
      <c r="M18" s="154"/>
      <c r="N18" s="161" t="s">
        <v>74</v>
      </c>
      <c r="O18" s="156"/>
      <c r="P18" s="156"/>
      <c r="Q18" s="156"/>
      <c r="R18" s="156"/>
      <c r="S18" s="157"/>
      <c r="T18" s="35"/>
    </row>
    <row r="19" spans="2:20" ht="15" customHeight="1">
      <c r="B19" s="32"/>
      <c r="C19" s="146"/>
      <c r="D19" s="147"/>
      <c r="E19" s="147"/>
      <c r="F19" s="147"/>
      <c r="G19" s="147"/>
      <c r="H19" s="148"/>
      <c r="I19" s="155"/>
      <c r="J19" s="156"/>
      <c r="K19" s="156"/>
      <c r="L19" s="156"/>
      <c r="M19" s="157"/>
      <c r="N19" s="155"/>
      <c r="O19" s="156"/>
      <c r="P19" s="156"/>
      <c r="Q19" s="156"/>
      <c r="R19" s="156"/>
      <c r="S19" s="157"/>
      <c r="T19" s="35"/>
    </row>
    <row r="20" spans="2:20" ht="15" customHeight="1">
      <c r="B20" s="32"/>
      <c r="C20" s="146"/>
      <c r="D20" s="147"/>
      <c r="E20" s="147"/>
      <c r="F20" s="147"/>
      <c r="G20" s="147"/>
      <c r="H20" s="148"/>
      <c r="I20" s="155"/>
      <c r="J20" s="156"/>
      <c r="K20" s="156"/>
      <c r="L20" s="156"/>
      <c r="M20" s="157"/>
      <c r="N20" s="155"/>
      <c r="O20" s="156"/>
      <c r="P20" s="156"/>
      <c r="Q20" s="156"/>
      <c r="R20" s="156"/>
      <c r="S20" s="157"/>
      <c r="T20" s="35"/>
    </row>
    <row r="21" spans="2:20" ht="15" customHeight="1">
      <c r="B21" s="32"/>
      <c r="C21" s="149"/>
      <c r="D21" s="150"/>
      <c r="E21" s="150"/>
      <c r="F21" s="150"/>
      <c r="G21" s="150"/>
      <c r="H21" s="151"/>
      <c r="I21" s="158"/>
      <c r="J21" s="159"/>
      <c r="K21" s="159"/>
      <c r="L21" s="159"/>
      <c r="M21" s="160"/>
      <c r="N21" s="158"/>
      <c r="O21" s="159"/>
      <c r="P21" s="159"/>
      <c r="Q21" s="159"/>
      <c r="R21" s="159"/>
      <c r="S21" s="160"/>
      <c r="T21" s="35"/>
    </row>
    <row r="22" spans="2:20" s="51" customFormat="1" ht="15.95" customHeight="1">
      <c r="B22" s="50"/>
      <c r="C22" s="54"/>
      <c r="D22" s="55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5"/>
      <c r="T22" s="57" t="s">
        <v>66</v>
      </c>
    </row>
    <row r="23" spans="2:20" s="51" customFormat="1" ht="23.25">
      <c r="B23" s="50"/>
      <c r="C23" s="58" t="s">
        <v>67</v>
      </c>
      <c r="D23" s="59"/>
      <c r="E23" s="52"/>
      <c r="F23" s="60" t="s">
        <v>122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2"/>
      <c r="T23" s="57"/>
    </row>
    <row r="24" spans="2:20" s="51" customFormat="1" ht="23.25">
      <c r="B24" s="50"/>
      <c r="C24" s="58" t="s">
        <v>0</v>
      </c>
      <c r="D24" s="59"/>
      <c r="E24" s="52"/>
      <c r="F24" s="63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2"/>
      <c r="T24" s="57"/>
    </row>
    <row r="25" spans="2:20" s="51" customFormat="1" ht="15.95" customHeight="1">
      <c r="B25" s="50"/>
      <c r="C25" s="58"/>
      <c r="D25" s="59"/>
      <c r="E25" s="52"/>
      <c r="G25" s="52"/>
      <c r="H25" s="64"/>
      <c r="I25" s="64"/>
      <c r="J25" s="52"/>
      <c r="K25" s="52"/>
      <c r="L25" s="37"/>
      <c r="M25" s="37"/>
      <c r="N25" s="37"/>
      <c r="O25" s="37"/>
      <c r="P25" s="37"/>
      <c r="Q25" s="37"/>
      <c r="R25" s="37"/>
      <c r="S25" s="62"/>
      <c r="T25" s="57"/>
    </row>
    <row r="26" spans="2:20" s="51" customFormat="1" ht="15.95" customHeight="1">
      <c r="B26" s="50"/>
      <c r="C26" s="54"/>
      <c r="D26" s="65" t="s">
        <v>66</v>
      </c>
      <c r="E26" s="42"/>
      <c r="F26" s="56"/>
      <c r="G26" s="56"/>
      <c r="H26" s="56"/>
      <c r="I26" s="56"/>
      <c r="J26" s="56"/>
      <c r="K26" s="56"/>
      <c r="L26" s="66"/>
      <c r="M26" s="66"/>
      <c r="N26" s="66"/>
      <c r="O26" s="66"/>
      <c r="P26" s="66"/>
      <c r="Q26" s="66"/>
      <c r="R26" s="56"/>
      <c r="S26" s="55"/>
      <c r="T26" s="53"/>
    </row>
    <row r="27" spans="2:20" s="51" customFormat="1" ht="15.95" customHeight="1">
      <c r="B27" s="50"/>
      <c r="C27" s="58" t="s">
        <v>68</v>
      </c>
      <c r="D27" s="67"/>
      <c r="E27" s="52"/>
      <c r="F27" s="68" t="str">
        <f>N13</f>
        <v>Dhaniar P.B</v>
      </c>
      <c r="G27" s="68"/>
      <c r="H27" s="68"/>
      <c r="I27" s="68"/>
      <c r="J27" s="37"/>
      <c r="K27" s="37"/>
      <c r="L27" s="51" t="str">
        <f>N14</f>
        <v>Marketing / PM</v>
      </c>
      <c r="M27" s="37"/>
      <c r="N27" s="37"/>
      <c r="O27" s="37"/>
      <c r="P27" s="37"/>
      <c r="Q27" s="37"/>
      <c r="R27" s="37"/>
      <c r="S27" s="62"/>
      <c r="T27" s="53"/>
    </row>
    <row r="28" spans="2:20" s="51" customFormat="1" ht="15.95" customHeight="1">
      <c r="B28" s="50"/>
      <c r="C28" s="58"/>
      <c r="D28" s="69" t="s">
        <v>69</v>
      </c>
      <c r="E28" s="37" t="s">
        <v>66</v>
      </c>
      <c r="F28" s="68" t="str">
        <f>Q13</f>
        <v>Ian Aliansyah</v>
      </c>
      <c r="G28" s="68"/>
      <c r="H28" s="68"/>
      <c r="I28" s="68"/>
      <c r="J28" s="37"/>
      <c r="K28" s="37"/>
      <c r="L28" s="51" t="s">
        <v>62</v>
      </c>
      <c r="M28" s="37"/>
      <c r="N28" s="68"/>
      <c r="O28" s="68"/>
      <c r="P28" s="68"/>
      <c r="Q28" s="68"/>
      <c r="R28" s="68"/>
      <c r="S28" s="62"/>
      <c r="T28" s="53"/>
    </row>
    <row r="29" spans="2:20" s="51" customFormat="1" ht="15.95" customHeight="1">
      <c r="B29" s="50"/>
      <c r="C29" s="58"/>
      <c r="D29" s="69"/>
      <c r="E29" s="37"/>
      <c r="F29" s="68"/>
      <c r="G29" s="68"/>
      <c r="H29" s="68"/>
      <c r="I29" s="68"/>
      <c r="J29" s="37"/>
      <c r="K29" s="37"/>
      <c r="L29" s="37"/>
      <c r="M29" s="68"/>
      <c r="N29" s="68"/>
      <c r="O29" s="68"/>
      <c r="P29" s="68"/>
      <c r="Q29" s="68"/>
      <c r="R29" s="68"/>
      <c r="S29" s="62"/>
      <c r="T29" s="53"/>
    </row>
    <row r="30" spans="2:20" s="51" customFormat="1" ht="15.95" customHeight="1">
      <c r="B30" s="50"/>
      <c r="C30" s="58"/>
      <c r="D30" s="45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59"/>
      <c r="T30" s="53"/>
    </row>
    <row r="31" spans="2:20" s="51" customFormat="1" ht="15.95" customHeight="1">
      <c r="B31" s="50"/>
      <c r="C31" s="54"/>
      <c r="D31" s="43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1"/>
      <c r="T31" s="53"/>
    </row>
    <row r="32" spans="2:20" s="51" customFormat="1" ht="26.25" customHeight="1">
      <c r="B32" s="50"/>
      <c r="C32" s="58" t="s">
        <v>67</v>
      </c>
      <c r="D32" s="45"/>
      <c r="E32" s="72"/>
      <c r="F32" s="51" t="s">
        <v>125</v>
      </c>
      <c r="G32" s="73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5"/>
      <c r="T32" s="53"/>
    </row>
    <row r="33" spans="2:25" s="51" customFormat="1" ht="20.100000000000001" customHeight="1">
      <c r="B33" s="50"/>
      <c r="C33" s="58" t="s">
        <v>70</v>
      </c>
      <c r="D33" s="45"/>
      <c r="E33" s="76"/>
      <c r="F33" s="77" t="s">
        <v>123</v>
      </c>
      <c r="G33" s="78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5"/>
      <c r="T33" s="53"/>
    </row>
    <row r="34" spans="2:25" s="51" customFormat="1" ht="20.100000000000001" customHeight="1">
      <c r="B34" s="50"/>
      <c r="C34" s="58"/>
      <c r="D34" s="45"/>
      <c r="E34" s="77"/>
      <c r="F34" s="77" t="s">
        <v>124</v>
      </c>
      <c r="G34" s="79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5"/>
      <c r="T34" s="53"/>
    </row>
    <row r="35" spans="2:25" s="51" customFormat="1" ht="20.100000000000001" customHeight="1">
      <c r="B35" s="50"/>
      <c r="C35" s="58"/>
      <c r="D35" s="45"/>
      <c r="E35" s="80"/>
      <c r="F35" s="81"/>
      <c r="G35" s="81"/>
      <c r="J35" s="81"/>
      <c r="K35" s="81"/>
      <c r="L35" s="81"/>
      <c r="M35" s="81"/>
      <c r="N35" s="74"/>
      <c r="O35" s="74"/>
      <c r="P35" s="74"/>
      <c r="Q35" s="74"/>
      <c r="R35" s="74"/>
      <c r="S35" s="75"/>
      <c r="T35" s="53"/>
    </row>
    <row r="36" spans="2:25" s="51" customFormat="1" ht="20.100000000000001" customHeight="1">
      <c r="B36" s="50"/>
      <c r="C36" s="58"/>
      <c r="D36" s="82" t="s">
        <v>66</v>
      </c>
      <c r="E36" s="83"/>
      <c r="Q36" s="81"/>
      <c r="R36" s="86"/>
      <c r="S36" s="87"/>
      <c r="T36" s="53"/>
    </row>
    <row r="37" spans="2:25" s="51" customFormat="1" ht="20.100000000000001" customHeight="1">
      <c r="B37" s="50"/>
      <c r="C37" s="58"/>
      <c r="D37" s="82"/>
      <c r="E37" s="85"/>
      <c r="Q37" s="81"/>
      <c r="R37" s="86"/>
      <c r="S37" s="87"/>
      <c r="T37" s="53"/>
    </row>
    <row r="38" spans="2:25" s="51" customFormat="1" ht="20.100000000000001" customHeight="1">
      <c r="B38" s="50"/>
      <c r="C38" s="58"/>
      <c r="D38" s="82"/>
      <c r="E38" s="85"/>
      <c r="Q38" s="81"/>
      <c r="R38" s="86"/>
      <c r="S38" s="87"/>
      <c r="T38" s="53"/>
    </row>
    <row r="39" spans="2:25" s="51" customFormat="1" ht="20.100000000000001" customHeight="1">
      <c r="B39" s="50"/>
      <c r="C39" s="58"/>
      <c r="D39" s="82"/>
      <c r="E39" s="85"/>
      <c r="Q39" s="81"/>
      <c r="R39" s="86"/>
      <c r="S39" s="87"/>
      <c r="T39" s="53"/>
    </row>
    <row r="40" spans="2:25" s="51" customFormat="1" ht="17.25" customHeight="1">
      <c r="B40" s="50"/>
      <c r="C40" s="58"/>
      <c r="D40" s="59"/>
      <c r="E40" s="81"/>
      <c r="F40" s="88"/>
      <c r="G40" s="85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6"/>
      <c r="S40" s="87"/>
      <c r="T40" s="53"/>
    </row>
    <row r="41" spans="2:25" s="51" customFormat="1" ht="17.25" customHeight="1">
      <c r="B41" s="50"/>
      <c r="C41" s="58"/>
      <c r="D41" s="59"/>
      <c r="E41" s="89"/>
      <c r="F41" s="85"/>
      <c r="G41" s="85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6"/>
      <c r="S41" s="87"/>
      <c r="T41" s="53"/>
    </row>
    <row r="42" spans="2:25" s="51" customFormat="1" ht="17.25" customHeight="1">
      <c r="B42" s="50"/>
      <c r="C42" s="58"/>
      <c r="D42" s="59"/>
      <c r="E42" s="89"/>
      <c r="F42" s="90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6"/>
      <c r="S42" s="87"/>
      <c r="T42" s="53"/>
    </row>
    <row r="43" spans="2:25" s="51" customFormat="1" ht="17.25" customHeight="1">
      <c r="B43" s="50"/>
      <c r="C43" s="58"/>
      <c r="D43" s="59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91"/>
    </row>
    <row r="44" spans="2:25" s="51" customFormat="1" ht="24" customHeight="1">
      <c r="B44" s="50"/>
      <c r="C44" s="58"/>
      <c r="D44" s="45"/>
      <c r="E44" s="90"/>
      <c r="F44" s="92"/>
      <c r="G44" s="93"/>
      <c r="H44" s="81"/>
      <c r="I44" s="81"/>
      <c r="N44" s="81"/>
      <c r="O44" s="81"/>
      <c r="P44" s="81"/>
      <c r="Q44" s="81"/>
      <c r="R44" s="81"/>
      <c r="S44" s="81"/>
      <c r="T44" s="91"/>
    </row>
    <row r="45" spans="2:25" s="51" customFormat="1" ht="20.25" customHeight="1">
      <c r="B45" s="50"/>
      <c r="C45" s="58"/>
      <c r="D45" s="45"/>
      <c r="E45" s="94"/>
      <c r="F45" s="95"/>
      <c r="G45" s="9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75"/>
      <c r="T45" s="53"/>
    </row>
    <row r="46" spans="2:25" s="51" customFormat="1" ht="20.25" customHeight="1">
      <c r="B46" s="50"/>
      <c r="C46" s="58"/>
      <c r="D46" s="45"/>
      <c r="E46" s="98"/>
      <c r="F46" s="95"/>
      <c r="G46" s="9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75"/>
      <c r="T46" s="53"/>
    </row>
    <row r="47" spans="2:25" s="51" customFormat="1" ht="20.25" customHeight="1">
      <c r="B47" s="50"/>
      <c r="C47" s="58"/>
      <c r="D47" s="45"/>
      <c r="E47" s="98"/>
      <c r="F47" s="92"/>
      <c r="G47" s="9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75"/>
      <c r="T47" s="53"/>
    </row>
    <row r="48" spans="2:25" s="51" customFormat="1" ht="18">
      <c r="B48" s="50"/>
      <c r="C48" s="58"/>
      <c r="D48" s="45"/>
      <c r="E48" s="99"/>
      <c r="F48" s="100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75"/>
      <c r="T48" s="53"/>
      <c r="U48" s="101"/>
      <c r="V48" s="101"/>
      <c r="W48" s="101"/>
      <c r="X48" s="101"/>
      <c r="Y48" s="101"/>
    </row>
    <row r="49" spans="2:26" s="51" customFormat="1" ht="15.95" customHeight="1">
      <c r="B49" s="50"/>
      <c r="C49" s="58"/>
      <c r="D49" s="38"/>
      <c r="E49" s="102"/>
      <c r="F49" s="92"/>
      <c r="G49" s="103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5"/>
      <c r="T49" s="53"/>
      <c r="U49" s="101"/>
      <c r="V49" s="101"/>
      <c r="W49" s="101"/>
      <c r="X49" s="101"/>
      <c r="Y49" s="101"/>
      <c r="Z49" s="101"/>
    </row>
    <row r="50" spans="2:26" s="51" customFormat="1" ht="15.95" customHeight="1">
      <c r="B50" s="50"/>
      <c r="C50" s="58"/>
      <c r="D50" s="38"/>
      <c r="E50" s="102"/>
      <c r="F50" s="92"/>
      <c r="G50" s="103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5"/>
      <c r="T50" s="53"/>
      <c r="U50" s="101"/>
      <c r="V50" s="101"/>
      <c r="W50" s="101"/>
      <c r="X50" s="101"/>
      <c r="Y50" s="101"/>
      <c r="Z50" s="101"/>
    </row>
    <row r="51" spans="2:26" s="51" customFormat="1" ht="15">
      <c r="B51" s="50"/>
      <c r="C51" s="106"/>
      <c r="D51" s="37"/>
      <c r="E51" s="107"/>
      <c r="F51" s="108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10"/>
      <c r="T51" s="53"/>
    </row>
    <row r="52" spans="2:26" ht="9" customHeight="1" thickBot="1">
      <c r="B52" s="111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3"/>
    </row>
  </sheetData>
  <mergeCells count="13">
    <mergeCell ref="C16:H17"/>
    <mergeCell ref="I16:M17"/>
    <mergeCell ref="N16:S17"/>
    <mergeCell ref="C18:H21"/>
    <mergeCell ref="I18:M21"/>
    <mergeCell ref="N18:S21"/>
    <mergeCell ref="N14:P14"/>
    <mergeCell ref="Q14:S14"/>
    <mergeCell ref="N8:S9"/>
    <mergeCell ref="H10:J10"/>
    <mergeCell ref="H11:J11"/>
    <mergeCell ref="N13:P13"/>
    <mergeCell ref="Q13:S13"/>
  </mergeCells>
  <printOptions horizontalCentered="1"/>
  <pageMargins left="0.15748031496062992" right="0.15748031496062992" top="0.43307086614173229" bottom="0.15748031496062992" header="0.31496062992125984" footer="0.31496062992125984"/>
  <pageSetup paperSize="9" scale="8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85"/>
  <sheetViews>
    <sheetView view="pageBreakPreview" zoomScaleNormal="70" zoomScaleSheetLayoutView="100" workbookViewId="0">
      <selection activeCell="I60" sqref="I60"/>
    </sheetView>
  </sheetViews>
  <sheetFormatPr defaultRowHeight="15"/>
  <cols>
    <col min="1" max="1" width="2.140625" customWidth="1"/>
    <col min="2" max="2" width="3.28515625" customWidth="1"/>
    <col min="3" max="3" width="17.85546875" bestFit="1" customWidth="1"/>
    <col min="4" max="4" width="27.140625" bestFit="1" customWidth="1"/>
    <col min="5" max="5" width="22.85546875" customWidth="1"/>
    <col min="6" max="6" width="23.42578125" customWidth="1"/>
    <col min="7" max="7" width="7.7109375" customWidth="1"/>
    <col min="8" max="8" width="5.85546875" bestFit="1" customWidth="1"/>
    <col min="9" max="9" width="6.140625" bestFit="1" customWidth="1"/>
    <col min="10" max="10" width="8.140625" bestFit="1" customWidth="1"/>
    <col min="11" max="11" width="5.85546875" bestFit="1" customWidth="1"/>
    <col min="12" max="12" width="6.140625" bestFit="1" customWidth="1"/>
    <col min="13" max="13" width="7.28515625" bestFit="1" customWidth="1"/>
    <col min="14" max="14" width="5.85546875" bestFit="1" customWidth="1"/>
    <col min="15" max="15" width="6.140625" bestFit="1" customWidth="1"/>
    <col min="16" max="16" width="8.140625" bestFit="1" customWidth="1"/>
    <col min="17" max="17" width="7.140625" customWidth="1"/>
    <col min="18" max="18" width="7" customWidth="1"/>
    <col min="19" max="19" width="8.140625" bestFit="1" customWidth="1"/>
    <col min="20" max="20" width="2.7109375" customWidth="1"/>
    <col min="21" max="21" width="2" customWidth="1"/>
  </cols>
  <sheetData>
    <row r="2" spans="2:20">
      <c r="B2" s="167"/>
      <c r="C2" s="168"/>
      <c r="D2" s="168"/>
      <c r="E2" s="169"/>
      <c r="F2" s="176" t="s">
        <v>131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8"/>
    </row>
    <row r="3" spans="2:20">
      <c r="B3" s="170"/>
      <c r="C3" s="171"/>
      <c r="D3" s="171"/>
      <c r="E3" s="172"/>
      <c r="F3" s="179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1"/>
    </row>
    <row r="4" spans="2:20">
      <c r="B4" s="170"/>
      <c r="C4" s="171"/>
      <c r="D4" s="171"/>
      <c r="E4" s="172"/>
      <c r="F4" s="179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</row>
    <row r="5" spans="2:20">
      <c r="B5" s="173"/>
      <c r="C5" s="174"/>
      <c r="D5" s="174"/>
      <c r="E5" s="175"/>
      <c r="F5" s="182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4"/>
    </row>
    <row r="6" spans="2:20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</row>
    <row r="7" spans="2:20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85" t="s">
        <v>1</v>
      </c>
      <c r="Q7" s="185"/>
      <c r="R7" s="185"/>
      <c r="S7" s="6"/>
      <c r="T7" s="7"/>
    </row>
    <row r="8" spans="2:20" ht="23.25">
      <c r="B8" s="5"/>
      <c r="C8" s="6" t="s">
        <v>2</v>
      </c>
      <c r="D8" s="6" t="s">
        <v>118</v>
      </c>
      <c r="F8" s="6"/>
      <c r="G8" s="6"/>
      <c r="H8" s="6"/>
      <c r="I8" s="6"/>
      <c r="J8" s="6"/>
      <c r="K8" s="6"/>
      <c r="L8" s="6"/>
      <c r="M8" s="6"/>
      <c r="N8" s="6"/>
      <c r="O8" s="6"/>
      <c r="P8" s="11" t="s">
        <v>3</v>
      </c>
      <c r="Q8" s="165" t="s">
        <v>4</v>
      </c>
      <c r="R8" s="166"/>
      <c r="S8" s="6"/>
      <c r="T8" s="7"/>
    </row>
    <row r="9" spans="2:20" ht="23.25">
      <c r="B9" s="5"/>
      <c r="C9" s="6" t="s">
        <v>5</v>
      </c>
      <c r="D9" s="6" t="s">
        <v>72</v>
      </c>
      <c r="F9" s="6"/>
      <c r="G9" s="6"/>
      <c r="H9" s="6"/>
      <c r="I9" s="6"/>
      <c r="J9" s="6"/>
      <c r="K9" s="6"/>
      <c r="L9" s="6"/>
      <c r="M9" s="6"/>
      <c r="N9" s="6"/>
      <c r="O9" s="6"/>
      <c r="P9" s="11" t="s">
        <v>6</v>
      </c>
      <c r="Q9" s="165" t="s">
        <v>7</v>
      </c>
      <c r="R9" s="166"/>
      <c r="S9" s="6"/>
      <c r="T9" s="7"/>
    </row>
    <row r="10" spans="2:20" ht="23.25">
      <c r="B10" s="5"/>
      <c r="C10" s="6" t="s">
        <v>8</v>
      </c>
      <c r="D10" s="6" t="s">
        <v>126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1" t="s">
        <v>9</v>
      </c>
      <c r="Q10" s="165" t="s">
        <v>10</v>
      </c>
      <c r="R10" s="166"/>
      <c r="S10" s="6"/>
      <c r="T10" s="7"/>
    </row>
    <row r="11" spans="2:20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2:20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2:20">
      <c r="B13" s="5"/>
      <c r="C13" s="185" t="s">
        <v>11</v>
      </c>
      <c r="D13" s="185"/>
      <c r="E13" s="165" t="s">
        <v>119</v>
      </c>
      <c r="F13" s="195"/>
      <c r="G13" s="166"/>
      <c r="H13" s="165"/>
      <c r="I13" s="195"/>
      <c r="J13" s="166"/>
      <c r="K13" s="165"/>
      <c r="L13" s="195"/>
      <c r="M13" s="166"/>
      <c r="N13" s="165"/>
      <c r="O13" s="195"/>
      <c r="P13" s="166"/>
      <c r="Q13" s="165"/>
      <c r="R13" s="195"/>
      <c r="S13" s="166"/>
      <c r="T13" s="7"/>
    </row>
    <row r="14" spans="2:20">
      <c r="B14" s="5"/>
      <c r="C14" s="167"/>
      <c r="D14" s="169"/>
      <c r="E14" s="186" t="s">
        <v>12</v>
      </c>
      <c r="F14" s="187"/>
      <c r="G14" s="188"/>
      <c r="H14" s="186"/>
      <c r="I14" s="187"/>
      <c r="J14" s="188"/>
      <c r="K14" s="186"/>
      <c r="L14" s="187"/>
      <c r="M14" s="188"/>
      <c r="N14" s="186"/>
      <c r="O14" s="187"/>
      <c r="P14" s="188"/>
      <c r="Q14" s="186"/>
      <c r="R14" s="187"/>
      <c r="S14" s="188"/>
      <c r="T14" s="7"/>
    </row>
    <row r="15" spans="2:20">
      <c r="B15" s="5"/>
      <c r="C15" s="170"/>
      <c r="D15" s="172"/>
      <c r="E15" s="189"/>
      <c r="F15" s="190"/>
      <c r="G15" s="191"/>
      <c r="H15" s="189"/>
      <c r="I15" s="190"/>
      <c r="J15" s="191"/>
      <c r="K15" s="189"/>
      <c r="L15" s="190"/>
      <c r="M15" s="191"/>
      <c r="N15" s="189"/>
      <c r="O15" s="190"/>
      <c r="P15" s="191"/>
      <c r="Q15" s="189"/>
      <c r="R15" s="190"/>
      <c r="S15" s="191"/>
      <c r="T15" s="7"/>
    </row>
    <row r="16" spans="2:20">
      <c r="B16" s="5"/>
      <c r="C16" s="170"/>
      <c r="D16" s="172"/>
      <c r="E16" s="189"/>
      <c r="F16" s="190"/>
      <c r="G16" s="191"/>
      <c r="H16" s="189"/>
      <c r="I16" s="190"/>
      <c r="J16" s="191"/>
      <c r="K16" s="189"/>
      <c r="L16" s="190"/>
      <c r="M16" s="191"/>
      <c r="N16" s="189"/>
      <c r="O16" s="190"/>
      <c r="P16" s="191"/>
      <c r="Q16" s="189"/>
      <c r="R16" s="190"/>
      <c r="S16" s="191"/>
      <c r="T16" s="7"/>
    </row>
    <row r="17" spans="2:20">
      <c r="B17" s="5"/>
      <c r="C17" s="170"/>
      <c r="D17" s="172"/>
      <c r="E17" s="189"/>
      <c r="F17" s="190"/>
      <c r="G17" s="191"/>
      <c r="H17" s="189"/>
      <c r="I17" s="190"/>
      <c r="J17" s="191"/>
      <c r="K17" s="189"/>
      <c r="L17" s="190"/>
      <c r="M17" s="191"/>
      <c r="N17" s="189"/>
      <c r="O17" s="190"/>
      <c r="P17" s="191"/>
      <c r="Q17" s="189"/>
      <c r="R17" s="190"/>
      <c r="S17" s="191"/>
      <c r="T17" s="7"/>
    </row>
    <row r="18" spans="2:20">
      <c r="B18" s="5"/>
      <c r="C18" s="170"/>
      <c r="D18" s="172"/>
      <c r="E18" s="189"/>
      <c r="F18" s="190"/>
      <c r="G18" s="191"/>
      <c r="H18" s="189"/>
      <c r="I18" s="190"/>
      <c r="J18" s="191"/>
      <c r="K18" s="189"/>
      <c r="L18" s="190"/>
      <c r="M18" s="191"/>
      <c r="N18" s="189"/>
      <c r="O18" s="190"/>
      <c r="P18" s="191"/>
      <c r="Q18" s="189"/>
      <c r="R18" s="190"/>
      <c r="S18" s="191"/>
      <c r="T18" s="7"/>
    </row>
    <row r="19" spans="2:20">
      <c r="B19" s="5"/>
      <c r="C19" s="173"/>
      <c r="D19" s="175"/>
      <c r="E19" s="192"/>
      <c r="F19" s="193"/>
      <c r="G19" s="194"/>
      <c r="H19" s="192"/>
      <c r="I19" s="193"/>
      <c r="J19" s="194"/>
      <c r="K19" s="192"/>
      <c r="L19" s="193"/>
      <c r="M19" s="194"/>
      <c r="N19" s="192"/>
      <c r="O19" s="193"/>
      <c r="P19" s="194"/>
      <c r="Q19" s="192"/>
      <c r="R19" s="193"/>
      <c r="S19" s="194"/>
      <c r="T19" s="7"/>
    </row>
    <row r="20" spans="2:20">
      <c r="B20" s="5"/>
      <c r="C20" s="185" t="s">
        <v>13</v>
      </c>
      <c r="D20" s="185"/>
      <c r="E20" s="12" t="s">
        <v>14</v>
      </c>
      <c r="F20" s="12" t="s">
        <v>15</v>
      </c>
      <c r="G20" s="12" t="s">
        <v>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7"/>
    </row>
    <row r="21" spans="2:20">
      <c r="B21" s="5"/>
      <c r="C21" s="196" t="s">
        <v>16</v>
      </c>
      <c r="D21" s="1" t="s">
        <v>77</v>
      </c>
      <c r="E21" s="13" t="s">
        <v>78</v>
      </c>
      <c r="F21" s="13" t="s">
        <v>78</v>
      </c>
      <c r="G21" s="13" t="s">
        <v>17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7"/>
    </row>
    <row r="22" spans="2:20">
      <c r="B22" s="5"/>
      <c r="C22" s="197"/>
      <c r="D22" s="1" t="s">
        <v>79</v>
      </c>
      <c r="E22" s="13" t="s">
        <v>99</v>
      </c>
      <c r="F22" s="13" t="s">
        <v>99</v>
      </c>
      <c r="G22" s="13" t="s">
        <v>17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7"/>
    </row>
    <row r="23" spans="2:20">
      <c r="B23" s="5"/>
      <c r="C23" s="197"/>
      <c r="D23" s="1" t="s">
        <v>80</v>
      </c>
      <c r="E23" s="13" t="s">
        <v>86</v>
      </c>
      <c r="F23" s="13" t="s">
        <v>86</v>
      </c>
      <c r="G23" s="13" t="s">
        <v>17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7"/>
    </row>
    <row r="24" spans="2:20">
      <c r="B24" s="5"/>
      <c r="C24" s="197"/>
      <c r="D24" s="1" t="s">
        <v>81</v>
      </c>
      <c r="E24" s="13" t="s">
        <v>107</v>
      </c>
      <c r="F24" s="13" t="s">
        <v>107</v>
      </c>
      <c r="G24" s="13" t="s">
        <v>17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7"/>
    </row>
    <row r="25" spans="2:20">
      <c r="B25" s="5"/>
      <c r="C25" s="197"/>
      <c r="D25" s="1" t="s">
        <v>82</v>
      </c>
      <c r="E25" s="13" t="s">
        <v>101</v>
      </c>
      <c r="F25" s="13" t="s">
        <v>101</v>
      </c>
      <c r="G25" s="13" t="s">
        <v>17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7"/>
    </row>
    <row r="26" spans="2:20">
      <c r="B26" s="5"/>
      <c r="C26" s="197"/>
      <c r="D26" s="1" t="s">
        <v>83</v>
      </c>
      <c r="E26" s="13" t="s">
        <v>106</v>
      </c>
      <c r="F26" s="13" t="s">
        <v>106</v>
      </c>
      <c r="G26" s="13" t="s">
        <v>17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7"/>
    </row>
    <row r="27" spans="2:20">
      <c r="B27" s="5"/>
      <c r="C27" s="197"/>
      <c r="D27" s="1" t="s">
        <v>84</v>
      </c>
      <c r="E27" s="13" t="s">
        <v>105</v>
      </c>
      <c r="F27" s="13" t="s">
        <v>105</v>
      </c>
      <c r="G27" s="13" t="s">
        <v>17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7"/>
    </row>
    <row r="28" spans="2:20">
      <c r="B28" s="5"/>
      <c r="C28" s="197"/>
      <c r="D28" s="1" t="s">
        <v>85</v>
      </c>
      <c r="E28" s="13" t="s">
        <v>105</v>
      </c>
      <c r="F28" s="13" t="s">
        <v>105</v>
      </c>
      <c r="G28" s="13" t="s">
        <v>17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7"/>
    </row>
    <row r="29" spans="2:20">
      <c r="B29" s="5"/>
      <c r="C29" s="197"/>
      <c r="D29" s="1" t="s">
        <v>87</v>
      </c>
      <c r="E29" s="13" t="s">
        <v>104</v>
      </c>
      <c r="F29" s="13" t="s">
        <v>104</v>
      </c>
      <c r="G29" s="13" t="s">
        <v>17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7"/>
    </row>
    <row r="30" spans="2:20">
      <c r="B30" s="5"/>
      <c r="C30" s="197"/>
      <c r="D30" s="1" t="s">
        <v>88</v>
      </c>
      <c r="E30" s="121" t="s">
        <v>103</v>
      </c>
      <c r="F30" s="121" t="s">
        <v>103</v>
      </c>
      <c r="G30" s="13" t="s">
        <v>17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7"/>
    </row>
    <row r="31" spans="2:20">
      <c r="B31" s="5"/>
      <c r="C31" s="197"/>
      <c r="D31" s="1" t="s">
        <v>89</v>
      </c>
      <c r="E31" s="13" t="s">
        <v>102</v>
      </c>
      <c r="F31" s="13" t="s">
        <v>102</v>
      </c>
      <c r="G31" s="13" t="s">
        <v>17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7"/>
    </row>
    <row r="32" spans="2:20">
      <c r="B32" s="5"/>
      <c r="C32" s="197"/>
      <c r="D32" s="1" t="s">
        <v>90</v>
      </c>
      <c r="E32" s="13" t="s">
        <v>101</v>
      </c>
      <c r="F32" s="13" t="s">
        <v>101</v>
      </c>
      <c r="G32" s="13" t="s">
        <v>17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7"/>
    </row>
    <row r="33" spans="1:20">
      <c r="B33" s="5"/>
      <c r="C33" s="197"/>
      <c r="D33" s="1" t="s">
        <v>91</v>
      </c>
      <c r="E33" s="13" t="s">
        <v>100</v>
      </c>
      <c r="F33" s="13" t="s">
        <v>100</v>
      </c>
      <c r="G33" s="13" t="s">
        <v>17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7"/>
    </row>
    <row r="34" spans="1:20">
      <c r="B34" s="5"/>
      <c r="C34" s="197"/>
      <c r="D34" s="1" t="s">
        <v>92</v>
      </c>
      <c r="E34" s="13" t="s">
        <v>99</v>
      </c>
      <c r="F34" s="13" t="s">
        <v>99</v>
      </c>
      <c r="G34" s="13" t="s">
        <v>17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7"/>
    </row>
    <row r="35" spans="1:20">
      <c r="B35" s="5"/>
      <c r="C35" s="197"/>
      <c r="D35" s="1" t="s">
        <v>93</v>
      </c>
      <c r="E35" s="13" t="s">
        <v>97</v>
      </c>
      <c r="F35" s="13" t="s">
        <v>97</v>
      </c>
      <c r="G35" s="13" t="s">
        <v>17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7"/>
    </row>
    <row r="36" spans="1:20">
      <c r="B36" s="5"/>
      <c r="C36" s="197"/>
      <c r="D36" s="1" t="s">
        <v>94</v>
      </c>
      <c r="E36" s="13" t="s">
        <v>98</v>
      </c>
      <c r="F36" s="13" t="s">
        <v>98</v>
      </c>
      <c r="G36" s="13" t="s">
        <v>17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7"/>
    </row>
    <row r="37" spans="1:20">
      <c r="B37" s="5"/>
      <c r="C37" s="197"/>
      <c r="D37" s="1" t="s">
        <v>95</v>
      </c>
      <c r="E37" s="122" t="s">
        <v>96</v>
      </c>
      <c r="F37" s="122" t="s">
        <v>96</v>
      </c>
      <c r="G37" s="13" t="s">
        <v>17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7"/>
    </row>
    <row r="38" spans="1:20">
      <c r="B38" s="5"/>
      <c r="C38" s="197"/>
      <c r="D38" s="1" t="s">
        <v>18</v>
      </c>
      <c r="E38" s="12" t="s">
        <v>4</v>
      </c>
      <c r="F38" s="12" t="s">
        <v>4</v>
      </c>
      <c r="G38" s="12" t="s">
        <v>17</v>
      </c>
      <c r="H38" s="13"/>
      <c r="I38" s="13"/>
      <c r="J38" s="1"/>
      <c r="K38" s="12"/>
      <c r="L38" s="12"/>
      <c r="M38" s="1"/>
      <c r="N38" s="13"/>
      <c r="O38" s="13"/>
      <c r="P38" s="1"/>
      <c r="Q38" s="13"/>
      <c r="R38" s="13"/>
      <c r="S38" s="1"/>
      <c r="T38" s="7"/>
    </row>
    <row r="39" spans="1:20" s="14" customFormat="1">
      <c r="B39" s="15"/>
      <c r="C39" s="197"/>
      <c r="D39" s="199" t="s">
        <v>19</v>
      </c>
      <c r="E39" s="123" t="s">
        <v>75</v>
      </c>
      <c r="F39" s="123">
        <v>4.84</v>
      </c>
      <c r="G39" s="12" t="s">
        <v>17</v>
      </c>
      <c r="H39" s="13"/>
      <c r="I39" s="13"/>
      <c r="J39" s="12"/>
      <c r="K39" s="12"/>
      <c r="L39" s="12"/>
      <c r="M39" s="12"/>
      <c r="N39" s="13"/>
      <c r="O39" s="13"/>
      <c r="P39" s="12"/>
      <c r="Q39" s="13"/>
      <c r="R39" s="13"/>
      <c r="S39" s="12"/>
      <c r="T39" s="16"/>
    </row>
    <row r="40" spans="1:20" s="14" customFormat="1">
      <c r="B40" s="15"/>
      <c r="C40" s="197"/>
      <c r="D40" s="200"/>
      <c r="E40" s="123" t="s">
        <v>76</v>
      </c>
      <c r="F40" s="123">
        <v>3.88</v>
      </c>
      <c r="G40" s="114" t="s">
        <v>17</v>
      </c>
      <c r="H40" s="13"/>
      <c r="I40" s="13"/>
      <c r="J40" s="12"/>
      <c r="K40" s="12"/>
      <c r="L40" s="12"/>
      <c r="M40" s="12"/>
      <c r="N40" s="13"/>
      <c r="O40" s="13"/>
      <c r="P40" s="12"/>
      <c r="Q40" s="13"/>
      <c r="R40" s="13"/>
      <c r="S40" s="12"/>
      <c r="T40" s="16"/>
    </row>
    <row r="41" spans="1:20" s="14" customFormat="1">
      <c r="B41" s="15"/>
      <c r="C41" s="197"/>
      <c r="D41" s="200"/>
      <c r="E41" s="123" t="s">
        <v>76</v>
      </c>
      <c r="F41" s="123">
        <v>3.05</v>
      </c>
      <c r="G41" s="114" t="s">
        <v>17</v>
      </c>
      <c r="H41" s="13"/>
      <c r="I41" s="13"/>
      <c r="J41" s="12"/>
      <c r="K41" s="12"/>
      <c r="L41" s="12"/>
      <c r="M41" s="12"/>
      <c r="N41" s="13"/>
      <c r="O41" s="13"/>
      <c r="P41" s="12"/>
      <c r="Q41" s="13"/>
      <c r="R41" s="13"/>
      <c r="S41" s="12"/>
      <c r="T41" s="16"/>
    </row>
    <row r="42" spans="1:20" s="14" customFormat="1">
      <c r="B42" s="15"/>
      <c r="C42" s="197"/>
      <c r="D42" s="201"/>
      <c r="E42" s="123" t="s">
        <v>128</v>
      </c>
      <c r="F42" s="123">
        <v>2.59</v>
      </c>
      <c r="G42" s="114" t="s">
        <v>17</v>
      </c>
      <c r="H42" s="13"/>
      <c r="I42" s="13"/>
      <c r="J42" s="12"/>
      <c r="K42" s="12"/>
      <c r="L42" s="12"/>
      <c r="M42" s="12"/>
      <c r="N42" s="13"/>
      <c r="O42" s="13"/>
      <c r="P42" s="12"/>
      <c r="Q42" s="13"/>
      <c r="R42" s="13"/>
      <c r="S42" s="12"/>
      <c r="T42" s="16"/>
    </row>
    <row r="43" spans="1:20" s="14" customFormat="1">
      <c r="B43" s="15"/>
      <c r="C43" s="197"/>
      <c r="D43" s="202" t="s">
        <v>20</v>
      </c>
      <c r="E43" s="123" t="s">
        <v>75</v>
      </c>
      <c r="F43" s="123">
        <v>1.9</v>
      </c>
      <c r="G43" s="12" t="s">
        <v>17</v>
      </c>
      <c r="H43" s="13"/>
      <c r="I43" s="13"/>
      <c r="J43" s="12"/>
      <c r="K43" s="12"/>
      <c r="L43" s="12"/>
      <c r="M43" s="12"/>
      <c r="N43" s="13"/>
      <c r="O43" s="13"/>
      <c r="P43" s="12"/>
      <c r="Q43" s="13"/>
      <c r="R43" s="13"/>
      <c r="S43" s="12"/>
      <c r="T43" s="16"/>
    </row>
    <row r="44" spans="1:20" s="14" customFormat="1">
      <c r="B44" s="15"/>
      <c r="C44" s="197"/>
      <c r="D44" s="203"/>
      <c r="E44" s="123" t="s">
        <v>76</v>
      </c>
      <c r="F44" s="123">
        <v>3.07</v>
      </c>
      <c r="G44" s="114" t="s">
        <v>17</v>
      </c>
      <c r="H44" s="13"/>
      <c r="I44" s="13"/>
      <c r="J44" s="12"/>
      <c r="K44" s="12"/>
      <c r="L44" s="12"/>
      <c r="M44" s="12"/>
      <c r="N44" s="13"/>
      <c r="O44" s="13"/>
      <c r="P44" s="12"/>
      <c r="Q44" s="13"/>
      <c r="R44" s="13"/>
      <c r="S44" s="12"/>
      <c r="T44" s="16"/>
    </row>
    <row r="45" spans="1:20" s="14" customFormat="1">
      <c r="B45" s="15"/>
      <c r="C45" s="197"/>
      <c r="D45" s="203"/>
      <c r="E45" s="123" t="s">
        <v>76</v>
      </c>
      <c r="F45" s="123">
        <v>2.59</v>
      </c>
      <c r="G45" s="114" t="s">
        <v>17</v>
      </c>
      <c r="H45" s="13"/>
      <c r="I45" s="13"/>
      <c r="J45" s="12"/>
      <c r="K45" s="12"/>
      <c r="L45" s="12"/>
      <c r="M45" s="12"/>
      <c r="N45" s="13"/>
      <c r="O45" s="13"/>
      <c r="P45" s="12"/>
      <c r="Q45" s="13"/>
      <c r="R45" s="13"/>
      <c r="S45" s="12"/>
      <c r="T45" s="16"/>
    </row>
    <row r="46" spans="1:20" s="14" customFormat="1">
      <c r="B46" s="15"/>
      <c r="C46" s="197"/>
      <c r="D46" s="204"/>
      <c r="E46" s="123" t="s">
        <v>128</v>
      </c>
      <c r="F46" s="123">
        <v>1.88</v>
      </c>
      <c r="G46" s="114" t="s">
        <v>17</v>
      </c>
      <c r="H46" s="13"/>
      <c r="I46" s="13"/>
      <c r="J46" s="12"/>
      <c r="K46" s="12"/>
      <c r="L46" s="12"/>
      <c r="M46" s="12"/>
      <c r="N46" s="13"/>
      <c r="O46" s="13"/>
      <c r="P46" s="12"/>
      <c r="Q46" s="13"/>
      <c r="R46" s="13"/>
      <c r="S46" s="12"/>
      <c r="T46" s="16"/>
    </row>
    <row r="47" spans="1:20">
      <c r="A47" s="14"/>
      <c r="B47" s="5"/>
      <c r="C47" s="198"/>
      <c r="D47" s="17" t="s">
        <v>21</v>
      </c>
      <c r="E47" s="118">
        <v>1.4999999999999999E-2</v>
      </c>
      <c r="F47" s="19">
        <v>0</v>
      </c>
      <c r="G47" s="12" t="s">
        <v>17</v>
      </c>
      <c r="H47" s="18"/>
      <c r="I47" s="18"/>
      <c r="J47" s="1"/>
      <c r="K47" s="18"/>
      <c r="L47" s="18"/>
      <c r="M47" s="1"/>
      <c r="N47" s="20"/>
      <c r="O47" s="18"/>
      <c r="P47" s="1"/>
      <c r="Q47" s="20"/>
      <c r="R47" s="21"/>
      <c r="S47" s="1"/>
      <c r="T47" s="7"/>
    </row>
    <row r="48" spans="1:20">
      <c r="A48" s="14"/>
      <c r="B48" s="5"/>
      <c r="C48" s="196" t="s">
        <v>22</v>
      </c>
      <c r="D48" s="1" t="s">
        <v>23</v>
      </c>
      <c r="E48" s="119" t="s">
        <v>110</v>
      </c>
      <c r="F48" s="119" t="s">
        <v>110</v>
      </c>
      <c r="G48" s="12" t="s">
        <v>17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"/>
      <c r="T48" s="7"/>
    </row>
    <row r="49" spans="1:20">
      <c r="A49" s="14"/>
      <c r="B49" s="5"/>
      <c r="C49" s="197"/>
      <c r="D49" s="1" t="s">
        <v>24</v>
      </c>
      <c r="E49" s="119" t="s">
        <v>111</v>
      </c>
      <c r="F49" s="119" t="s">
        <v>111</v>
      </c>
      <c r="G49" s="12" t="s">
        <v>17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"/>
      <c r="T49" s="7"/>
    </row>
    <row r="50" spans="1:20">
      <c r="A50" s="14"/>
      <c r="B50" s="5"/>
      <c r="C50" s="197"/>
      <c r="D50" s="17" t="s">
        <v>25</v>
      </c>
      <c r="E50" s="119" t="s">
        <v>111</v>
      </c>
      <c r="F50" s="119" t="s">
        <v>111</v>
      </c>
      <c r="G50" s="12" t="s">
        <v>17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"/>
      <c r="T50" s="7"/>
    </row>
    <row r="51" spans="1:20">
      <c r="A51" s="14"/>
      <c r="B51" s="5"/>
      <c r="C51" s="197"/>
      <c r="D51" s="1" t="s">
        <v>26</v>
      </c>
      <c r="E51" s="114" t="s">
        <v>109</v>
      </c>
      <c r="F51" s="12" t="s">
        <v>109</v>
      </c>
      <c r="G51" s="12" t="s">
        <v>17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"/>
      <c r="T51" s="7"/>
    </row>
    <row r="52" spans="1:20">
      <c r="A52" s="14"/>
      <c r="B52" s="5"/>
      <c r="C52" s="198"/>
      <c r="D52" s="1" t="s">
        <v>27</v>
      </c>
      <c r="E52" s="12" t="s">
        <v>108</v>
      </c>
      <c r="F52" s="114" t="s">
        <v>108</v>
      </c>
      <c r="G52" s="12" t="s">
        <v>17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7"/>
    </row>
    <row r="53" spans="1:20" ht="15" customHeight="1">
      <c r="A53" s="14"/>
      <c r="B53" s="5"/>
      <c r="C53" s="196" t="s">
        <v>28</v>
      </c>
      <c r="D53" s="1" t="s">
        <v>29</v>
      </c>
      <c r="E53" s="12">
        <v>8</v>
      </c>
      <c r="F53" s="12">
        <v>8</v>
      </c>
      <c r="G53" s="12" t="s">
        <v>17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"/>
      <c r="T53" s="7"/>
    </row>
    <row r="54" spans="1:20" ht="15" customHeight="1">
      <c r="A54" s="14"/>
      <c r="B54" s="5"/>
      <c r="C54" s="197"/>
      <c r="D54" s="1" t="s">
        <v>30</v>
      </c>
      <c r="E54" s="12" t="s">
        <v>31</v>
      </c>
      <c r="F54" s="12" t="s">
        <v>31</v>
      </c>
      <c r="G54" s="12" t="s">
        <v>17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"/>
      <c r="T54" s="7"/>
    </row>
    <row r="55" spans="1:20" ht="15" customHeight="1">
      <c r="A55" s="14"/>
      <c r="B55" s="5"/>
      <c r="C55" s="197"/>
      <c r="D55" s="1" t="s">
        <v>32</v>
      </c>
      <c r="E55" s="12" t="s">
        <v>33</v>
      </c>
      <c r="F55" s="12" t="s">
        <v>33</v>
      </c>
      <c r="G55" s="12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"/>
      <c r="T55" s="7"/>
    </row>
    <row r="56" spans="1:20" ht="15" customHeight="1">
      <c r="A56" s="14"/>
      <c r="B56" s="5"/>
      <c r="C56" s="198"/>
      <c r="D56" s="1" t="s">
        <v>34</v>
      </c>
      <c r="E56" s="12" t="s">
        <v>35</v>
      </c>
      <c r="F56" s="12" t="s">
        <v>35</v>
      </c>
      <c r="G56" s="12" t="s">
        <v>17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"/>
      <c r="T56" s="7"/>
    </row>
    <row r="57" spans="1:20" ht="15" customHeight="1">
      <c r="B57" s="5"/>
      <c r="C57" s="196" t="s">
        <v>36</v>
      </c>
      <c r="D57" s="1" t="s">
        <v>37</v>
      </c>
      <c r="E57" s="12" t="s">
        <v>38</v>
      </c>
      <c r="F57" s="12" t="s">
        <v>38</v>
      </c>
      <c r="G57" s="12" t="s">
        <v>17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"/>
      <c r="T57" s="7"/>
    </row>
    <row r="58" spans="1:20" ht="15" customHeight="1">
      <c r="B58" s="5"/>
      <c r="C58" s="197"/>
      <c r="D58" s="1" t="s">
        <v>39</v>
      </c>
      <c r="E58" s="12" t="s">
        <v>40</v>
      </c>
      <c r="F58" s="12" t="s">
        <v>40</v>
      </c>
      <c r="G58" s="12" t="s">
        <v>17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"/>
      <c r="T58" s="7"/>
    </row>
    <row r="59" spans="1:20" ht="15" customHeight="1">
      <c r="B59" s="5"/>
      <c r="C59" s="197"/>
      <c r="D59" s="1" t="s">
        <v>41</v>
      </c>
      <c r="E59" s="12" t="s">
        <v>42</v>
      </c>
      <c r="F59" s="12" t="s">
        <v>42</v>
      </c>
      <c r="G59" s="12" t="s">
        <v>17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"/>
      <c r="T59" s="7"/>
    </row>
    <row r="60" spans="1:20" ht="15" customHeight="1">
      <c r="B60" s="5"/>
      <c r="C60" s="197"/>
      <c r="D60" s="1" t="s">
        <v>43</v>
      </c>
      <c r="E60" s="12" t="s">
        <v>42</v>
      </c>
      <c r="F60" s="12" t="s">
        <v>42</v>
      </c>
      <c r="G60" s="12" t="s">
        <v>17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"/>
      <c r="T60" s="7"/>
    </row>
    <row r="61" spans="1:20" ht="15" customHeight="1">
      <c r="B61" s="5"/>
      <c r="C61" s="197"/>
      <c r="D61" s="1" t="s">
        <v>44</v>
      </c>
      <c r="E61" s="12" t="s">
        <v>42</v>
      </c>
      <c r="F61" s="12" t="s">
        <v>42</v>
      </c>
      <c r="G61" s="12" t="s">
        <v>17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"/>
      <c r="T61" s="7"/>
    </row>
    <row r="62" spans="1:20" ht="15" customHeight="1">
      <c r="B62" s="5"/>
      <c r="C62" s="197"/>
      <c r="D62" s="1" t="s">
        <v>45</v>
      </c>
      <c r="E62" s="12" t="s">
        <v>42</v>
      </c>
      <c r="F62" s="12" t="s">
        <v>42</v>
      </c>
      <c r="G62" s="12" t="s">
        <v>17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"/>
      <c r="T62" s="7"/>
    </row>
    <row r="63" spans="1:20" ht="15" customHeight="1">
      <c r="B63" s="5"/>
      <c r="C63" s="198"/>
      <c r="D63" s="1" t="s">
        <v>46</v>
      </c>
      <c r="E63" s="12" t="s">
        <v>42</v>
      </c>
      <c r="F63" s="12" t="s">
        <v>42</v>
      </c>
      <c r="G63" s="12" t="s">
        <v>17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"/>
      <c r="T63" s="7"/>
    </row>
    <row r="64" spans="1:20">
      <c r="B64" s="5"/>
      <c r="C64" s="205" t="s">
        <v>47</v>
      </c>
      <c r="D64" s="205"/>
      <c r="E64" s="165" t="s">
        <v>127</v>
      </c>
      <c r="F64" s="195"/>
      <c r="G64" s="166"/>
      <c r="H64" s="165"/>
      <c r="I64" s="195"/>
      <c r="J64" s="166"/>
      <c r="K64" s="165"/>
      <c r="L64" s="195"/>
      <c r="M64" s="166"/>
      <c r="N64" s="165"/>
      <c r="O64" s="195"/>
      <c r="P64" s="166"/>
      <c r="Q64" s="22"/>
      <c r="R64" s="23"/>
      <c r="S64" s="1"/>
      <c r="T64" s="7"/>
    </row>
    <row r="65" spans="2:20">
      <c r="B65" s="5"/>
      <c r="C65" s="205" t="s">
        <v>48</v>
      </c>
      <c r="D65" s="205"/>
      <c r="E65" s="165"/>
      <c r="F65" s="195"/>
      <c r="G65" s="166"/>
      <c r="H65" s="165"/>
      <c r="I65" s="195"/>
      <c r="J65" s="166"/>
      <c r="K65" s="165"/>
      <c r="L65" s="195"/>
      <c r="M65" s="166"/>
      <c r="N65" s="165"/>
      <c r="O65" s="195"/>
      <c r="P65" s="166"/>
      <c r="Q65" s="165"/>
      <c r="R65" s="195"/>
      <c r="S65" s="166"/>
      <c r="T65" s="7"/>
    </row>
    <row r="66" spans="2:20">
      <c r="B66" s="5"/>
      <c r="C66" s="205" t="s">
        <v>49</v>
      </c>
      <c r="D66" s="205"/>
      <c r="E66" s="165"/>
      <c r="F66" s="195"/>
      <c r="G66" s="166"/>
      <c r="H66" s="165"/>
      <c r="I66" s="195"/>
      <c r="J66" s="166"/>
      <c r="K66" s="165"/>
      <c r="L66" s="195"/>
      <c r="M66" s="166"/>
      <c r="N66" s="165"/>
      <c r="O66" s="195"/>
      <c r="P66" s="166"/>
      <c r="Q66" s="165"/>
      <c r="R66" s="195"/>
      <c r="S66" s="166"/>
      <c r="T66" s="7"/>
    </row>
    <row r="67" spans="2:20">
      <c r="B67" s="5"/>
      <c r="C67" s="24"/>
      <c r="D67" s="24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7"/>
    </row>
    <row r="68" spans="2:20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</row>
    <row r="69" spans="2:20">
      <c r="B69" s="5"/>
      <c r="C69" s="206" t="s">
        <v>50</v>
      </c>
      <c r="D69" s="206" t="s">
        <v>51</v>
      </c>
      <c r="E69" s="185" t="s">
        <v>52</v>
      </c>
      <c r="F69" s="185"/>
      <c r="G69" s="185"/>
      <c r="H69" s="209" t="s">
        <v>53</v>
      </c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1"/>
      <c r="T69" s="7"/>
    </row>
    <row r="70" spans="2:20">
      <c r="B70" s="5"/>
      <c r="C70" s="206"/>
      <c r="D70" s="206"/>
      <c r="E70" s="12" t="s">
        <v>54</v>
      </c>
      <c r="F70" s="12" t="s">
        <v>55</v>
      </c>
      <c r="G70" s="12" t="s">
        <v>56</v>
      </c>
      <c r="H70" s="212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4"/>
      <c r="T70" s="7"/>
    </row>
    <row r="71" spans="2:20">
      <c r="B71" s="5"/>
      <c r="C71" s="26">
        <v>1</v>
      </c>
      <c r="D71" s="115" t="s">
        <v>129</v>
      </c>
      <c r="E71" s="116">
        <v>20</v>
      </c>
      <c r="F71" s="117">
        <v>0</v>
      </c>
      <c r="G71" s="207">
        <f>SUM(F71:F72)/SUM(E71:E72)</f>
        <v>0</v>
      </c>
      <c r="H71" s="162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4"/>
      <c r="T71" s="7"/>
    </row>
    <row r="72" spans="2:20">
      <c r="B72" s="5"/>
      <c r="C72" s="26">
        <v>2</v>
      </c>
      <c r="D72" s="115" t="s">
        <v>130</v>
      </c>
      <c r="E72" s="116">
        <v>10</v>
      </c>
      <c r="F72" s="117">
        <v>0</v>
      </c>
      <c r="G72" s="208"/>
      <c r="H72" s="162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4"/>
      <c r="T72" s="7"/>
    </row>
    <row r="73" spans="2:20">
      <c r="B73" s="5"/>
      <c r="C73" s="26">
        <v>3</v>
      </c>
      <c r="D73" s="12"/>
      <c r="E73" s="12"/>
      <c r="F73" s="12"/>
      <c r="G73" s="12"/>
      <c r="H73" s="162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4"/>
      <c r="T73" s="7"/>
    </row>
    <row r="74" spans="2:20">
      <c r="B74" s="5"/>
      <c r="C74" s="26">
        <v>4</v>
      </c>
      <c r="D74" s="12"/>
      <c r="E74" s="12"/>
      <c r="F74" s="12"/>
      <c r="G74" s="12"/>
      <c r="H74" s="162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4"/>
      <c r="T74" s="7"/>
    </row>
    <row r="75" spans="2:20">
      <c r="B75" s="5"/>
      <c r="C75" s="26">
        <v>5</v>
      </c>
      <c r="D75" s="12"/>
      <c r="E75" s="12"/>
      <c r="F75" s="12"/>
      <c r="G75" s="12"/>
      <c r="H75" s="162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4"/>
      <c r="T75" s="7"/>
    </row>
    <row r="76" spans="2:20">
      <c r="B76" s="5"/>
      <c r="K76" s="6"/>
      <c r="T76" s="7"/>
    </row>
    <row r="77" spans="2:20">
      <c r="B77" s="5"/>
      <c r="K77" s="6"/>
      <c r="T77" s="7"/>
    </row>
    <row r="78" spans="2:20">
      <c r="B78" s="5"/>
      <c r="K78" s="6"/>
      <c r="T78" s="7"/>
    </row>
    <row r="79" spans="2:20">
      <c r="B79" s="5"/>
      <c r="K79" s="6"/>
      <c r="T79" s="7"/>
    </row>
    <row r="80" spans="2:20">
      <c r="B80" s="5"/>
      <c r="K80" s="6"/>
      <c r="T80" s="7"/>
    </row>
    <row r="81" spans="2:20">
      <c r="B81" s="5"/>
      <c r="K81" s="6"/>
      <c r="T81" s="7"/>
    </row>
    <row r="82" spans="2:20">
      <c r="B82" s="5"/>
      <c r="K82" s="6"/>
      <c r="T82" s="7"/>
    </row>
    <row r="83" spans="2:20">
      <c r="B83" s="5"/>
      <c r="C83" s="6"/>
      <c r="D83" s="6"/>
      <c r="E83" s="6"/>
      <c r="F83" s="6"/>
      <c r="G83" s="6"/>
      <c r="H83" s="6"/>
      <c r="I83" s="6"/>
      <c r="J83" s="6"/>
      <c r="K83" s="6"/>
      <c r="T83" s="7"/>
    </row>
    <row r="84" spans="2:20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</row>
    <row r="85" spans="2:20"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0"/>
    </row>
  </sheetData>
  <mergeCells count="52">
    <mergeCell ref="H73:S73"/>
    <mergeCell ref="H74:S74"/>
    <mergeCell ref="C69:C70"/>
    <mergeCell ref="D69:D70"/>
    <mergeCell ref="E69:G69"/>
    <mergeCell ref="G71:G72"/>
    <mergeCell ref="H69:S70"/>
    <mergeCell ref="H71:S71"/>
    <mergeCell ref="H72:S72"/>
    <mergeCell ref="Q66:S66"/>
    <mergeCell ref="C65:D65"/>
    <mergeCell ref="E65:G65"/>
    <mergeCell ref="H65:J65"/>
    <mergeCell ref="K65:M65"/>
    <mergeCell ref="N65:P65"/>
    <mergeCell ref="Q65:S65"/>
    <mergeCell ref="C66:D66"/>
    <mergeCell ref="E66:G66"/>
    <mergeCell ref="H66:J66"/>
    <mergeCell ref="K66:M66"/>
    <mergeCell ref="N66:P66"/>
    <mergeCell ref="H14:J19"/>
    <mergeCell ref="K14:M19"/>
    <mergeCell ref="N14:P19"/>
    <mergeCell ref="N64:P64"/>
    <mergeCell ref="C20:D20"/>
    <mergeCell ref="C21:C47"/>
    <mergeCell ref="D39:D42"/>
    <mergeCell ref="D43:D46"/>
    <mergeCell ref="C48:C52"/>
    <mergeCell ref="C53:C56"/>
    <mergeCell ref="C57:C63"/>
    <mergeCell ref="C64:D64"/>
    <mergeCell ref="E64:G64"/>
    <mergeCell ref="H64:J64"/>
    <mergeCell ref="K64:M64"/>
    <mergeCell ref="H75:S75"/>
    <mergeCell ref="Q10:R10"/>
    <mergeCell ref="B2:E5"/>
    <mergeCell ref="F2:T5"/>
    <mergeCell ref="P7:R7"/>
    <mergeCell ref="Q8:R8"/>
    <mergeCell ref="Q9:R9"/>
    <mergeCell ref="Q14:S19"/>
    <mergeCell ref="C13:D13"/>
    <mergeCell ref="E13:G13"/>
    <mergeCell ref="H13:J13"/>
    <mergeCell ref="K13:M13"/>
    <mergeCell ref="N13:P13"/>
    <mergeCell ref="Q13:S13"/>
    <mergeCell ref="C14:D19"/>
    <mergeCell ref="E14:G19"/>
  </mergeCells>
  <pageMargins left="0.25" right="0.25" top="0.75" bottom="0.75" header="0.3" footer="0.3"/>
  <pageSetup paperSize="9" scale="5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sqref="A1:L4"/>
    </sheetView>
  </sheetViews>
  <sheetFormatPr defaultRowHeight="15"/>
  <sheetData>
    <row r="1" spans="1:12" ht="15.75">
      <c r="A1" s="84" t="s">
        <v>120</v>
      </c>
      <c r="B1" s="85"/>
      <c r="C1" s="81"/>
      <c r="D1" s="81"/>
      <c r="E1" s="81"/>
      <c r="F1" s="81"/>
      <c r="G1" s="81"/>
      <c r="H1" s="81"/>
      <c r="I1" s="81"/>
      <c r="J1" s="81"/>
      <c r="K1" s="81"/>
      <c r="L1" s="27"/>
    </row>
    <row r="2" spans="1:12" ht="15.75">
      <c r="A2" s="120" t="s">
        <v>115</v>
      </c>
      <c r="B2" s="85"/>
      <c r="C2" s="81"/>
      <c r="D2" s="81"/>
      <c r="E2" s="81"/>
      <c r="F2" s="81"/>
      <c r="G2" s="81"/>
      <c r="H2" s="81"/>
      <c r="I2" s="81"/>
      <c r="J2" s="81"/>
      <c r="K2" s="81"/>
      <c r="L2" s="27"/>
    </row>
    <row r="3" spans="1:12" ht="15.75">
      <c r="A3" s="120" t="s">
        <v>116</v>
      </c>
      <c r="B3" s="85"/>
      <c r="C3" s="81"/>
      <c r="D3" s="81"/>
      <c r="E3" s="81"/>
      <c r="F3" s="81"/>
      <c r="G3" s="81"/>
      <c r="H3" s="81"/>
      <c r="I3" s="81"/>
      <c r="J3" s="81"/>
      <c r="K3" s="81"/>
      <c r="L3" s="27"/>
    </row>
    <row r="4" spans="1:12" ht="15.75">
      <c r="A4" s="120" t="s">
        <v>117</v>
      </c>
      <c r="B4" s="85"/>
      <c r="C4" s="81"/>
      <c r="D4" s="81"/>
      <c r="E4" s="81"/>
      <c r="F4" s="81"/>
      <c r="G4" s="81"/>
      <c r="H4" s="81"/>
      <c r="I4" s="81"/>
      <c r="J4" s="81"/>
      <c r="K4" s="81"/>
      <c r="L4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Form Judgemnt Go Del Part PP2</vt:lpstr>
      <vt:lpstr>Form PP2 Ev. Sheet</vt:lpstr>
      <vt:lpstr>Sheet1</vt:lpstr>
      <vt:lpstr>'Form Judgemnt Go Del Part PP2'!Print_Area</vt:lpstr>
      <vt:lpstr>'Form PP2 Ev.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 Afriadi</dc:creator>
  <cp:lastModifiedBy>Amirudin Suryo</cp:lastModifiedBy>
  <cp:lastPrinted>2021-11-04T02:33:59Z</cp:lastPrinted>
  <dcterms:created xsi:type="dcterms:W3CDTF">2018-01-31T07:53:23Z</dcterms:created>
  <dcterms:modified xsi:type="dcterms:W3CDTF">2021-11-04T12:34:04Z</dcterms:modified>
</cp:coreProperties>
</file>